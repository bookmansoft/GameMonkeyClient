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n\Desktop\鸡小德客户端配置表\配置表\"/>
    </mc:Choice>
  </mc:AlternateContent>
  <bookViews>
    <workbookView xWindow="13320" yWindow="0" windowWidth="21495" windowHeight="10350" tabRatio="771" firstSheet="9" activeTab="9"/>
  </bookViews>
  <sheets>
    <sheet name="node total" sheetId="1" r:id="rId1"/>
    <sheet name="m_activeSkillscfg" sheetId="2" r:id="rId2"/>
    <sheet name="m_amuletcfg" sheetId="28" r:id="rId3"/>
    <sheet name="m_bosscfg" sheetId="5" r:id="rId4"/>
    <sheet name="m_talismancfg" sheetId="10" r:id="rId5"/>
    <sheet name="m_talismanSkillscfg" sheetId="11" r:id="rId6"/>
    <sheet name="m_goodscfg" sheetId="13" r:id="rId7"/>
    <sheet name="m_dailyTaskcfg" sheetId="8" r:id="rId8"/>
    <sheet name="m_monstercfg" sheetId="16" r:id="rId9"/>
    <sheet name="m_cardcfg" sheetId="25" r:id="rId10"/>
    <sheet name="m_cardSkill" sheetId="30" r:id="rId11"/>
    <sheet name="m_petcfg" sheetId="17" r:id="rId12"/>
    <sheet name="m_petGeniuscfg" sheetId="29" r:id="rId13"/>
    <sheet name="m_rewardTypecfg" sheetId="24" r:id="rId14"/>
  </sheets>
  <calcPr calcId="152511" concurrentCalc="0"/>
</workbook>
</file>

<file path=xl/calcChain.xml><?xml version="1.0" encoding="utf-8"?>
<calcChain xmlns="http://schemas.openxmlformats.org/spreadsheetml/2006/main">
  <c r="N27" i="25" l="1"/>
  <c r="K27" i="25"/>
  <c r="J27" i="25"/>
  <c r="I27" i="25"/>
  <c r="N26" i="25"/>
  <c r="K26" i="25"/>
  <c r="J26" i="25"/>
  <c r="I26" i="25"/>
  <c r="N25" i="25"/>
  <c r="K25" i="25"/>
  <c r="J25" i="25"/>
  <c r="I25" i="25"/>
  <c r="N24" i="25"/>
  <c r="K24" i="25"/>
  <c r="J24" i="25"/>
  <c r="I24" i="25"/>
  <c r="N23" i="25"/>
  <c r="K23" i="25"/>
  <c r="J23" i="25"/>
  <c r="I23" i="25"/>
  <c r="N22" i="25"/>
  <c r="K22" i="25"/>
  <c r="J22" i="25"/>
  <c r="I22" i="25"/>
  <c r="N21" i="25"/>
  <c r="K21" i="25"/>
  <c r="J21" i="25"/>
  <c r="I21" i="25"/>
  <c r="N20" i="25"/>
  <c r="K20" i="25"/>
  <c r="J20" i="25"/>
  <c r="I20" i="25"/>
  <c r="N19" i="25"/>
  <c r="K19" i="25"/>
  <c r="J19" i="25"/>
  <c r="I19" i="25"/>
  <c r="N18" i="25"/>
  <c r="K18" i="25"/>
  <c r="J18" i="25"/>
  <c r="I18" i="25"/>
  <c r="N17" i="25"/>
  <c r="K17" i="25"/>
  <c r="J17" i="25"/>
  <c r="I17" i="25"/>
  <c r="N16" i="25"/>
  <c r="K16" i="25"/>
  <c r="J16" i="25"/>
  <c r="I16" i="25"/>
  <c r="N15" i="25"/>
  <c r="K15" i="25"/>
  <c r="J15" i="25"/>
  <c r="I15" i="25"/>
  <c r="N14" i="25"/>
  <c r="K14" i="25"/>
  <c r="J14" i="25"/>
  <c r="I14" i="25"/>
  <c r="N13" i="25"/>
  <c r="K13" i="25"/>
  <c r="J13" i="25"/>
  <c r="I13" i="25"/>
  <c r="N12" i="25"/>
  <c r="K12" i="25"/>
  <c r="J12" i="25"/>
  <c r="I12" i="25"/>
  <c r="N11" i="25"/>
  <c r="K11" i="25"/>
  <c r="J11" i="25"/>
  <c r="I11" i="25"/>
  <c r="N10" i="25"/>
  <c r="K10" i="25"/>
  <c r="J10" i="25"/>
  <c r="I10" i="25"/>
  <c r="N9" i="25"/>
  <c r="K9" i="25"/>
  <c r="J9" i="25"/>
  <c r="I9" i="25"/>
  <c r="N8" i="25"/>
  <c r="K8" i="25"/>
  <c r="J8" i="25"/>
  <c r="I8" i="25"/>
  <c r="N7" i="25"/>
  <c r="K7" i="25"/>
  <c r="J7" i="25"/>
  <c r="I7" i="25"/>
  <c r="N6" i="25"/>
  <c r="K6" i="25"/>
  <c r="J6" i="25"/>
  <c r="I6" i="25"/>
  <c r="N5" i="25"/>
  <c r="K5" i="25"/>
  <c r="J5" i="25"/>
  <c r="I5" i="25"/>
  <c r="N4" i="25"/>
  <c r="K4" i="25"/>
  <c r="J4" i="25"/>
  <c r="I4" i="25"/>
  <c r="N3" i="25"/>
  <c r="K3" i="25"/>
  <c r="J3" i="25"/>
  <c r="I3" i="25"/>
</calcChain>
</file>

<file path=xl/sharedStrings.xml><?xml version="1.0" encoding="utf-8"?>
<sst xmlns="http://schemas.openxmlformats.org/spreadsheetml/2006/main" count="1499" uniqueCount="1050">
  <si>
    <t>Monkey客户端配置表</t>
  </si>
  <si>
    <t>V1.0 2018.1.11</t>
  </si>
  <si>
    <t>配置表名称</t>
  </si>
  <si>
    <t>说明</t>
  </si>
  <si>
    <t>区别</t>
  </si>
  <si>
    <t>编号</t>
  </si>
  <si>
    <t>名称</t>
  </si>
  <si>
    <t>描述</t>
  </si>
  <si>
    <t>id</t>
  </si>
  <si>
    <t>name</t>
  </si>
  <si>
    <t>desc</t>
  </si>
  <si>
    <t>主动化缘</t>
  </si>
  <si>
    <t>30:10</t>
  </si>
  <si>
    <t>每秒自动点击10次</t>
  </si>
  <si>
    <t>分身有术</t>
  </si>
  <si>
    <t>31:1</t>
  </si>
  <si>
    <t>主角伤害+100%</t>
  </si>
  <si>
    <t>激发潜能</t>
  </si>
  <si>
    <t>宠物暴击率+25%</t>
  </si>
  <si>
    <t>生财之道</t>
  </si>
  <si>
    <t>每一击都掉落铜钱</t>
  </si>
  <si>
    <t>佛光普照</t>
  </si>
  <si>
    <t>33:1</t>
  </si>
  <si>
    <t>宠物伤害+100%</t>
  </si>
  <si>
    <t>七十二变</t>
  </si>
  <si>
    <t>34:1</t>
  </si>
  <si>
    <t>主角攻击速度+100%</t>
  </si>
  <si>
    <t>佛光符咒</t>
  </si>
  <si>
    <t>增加法宝的佛光加成</t>
  </si>
  <si>
    <t>丰饶符咒</t>
  </si>
  <si>
    <t>fengrao</t>
  </si>
  <si>
    <t>fuzhou_wz_fengrao</t>
  </si>
  <si>
    <t>增加生财之道技能生效时获得的铜钱</t>
  </si>
  <si>
    <t>修为符咒</t>
  </si>
  <si>
    <t>xiuwei</t>
  </si>
  <si>
    <t>fuzhou_wz_xiuwei</t>
  </si>
  <si>
    <t>增加boss掉落修为的数量</t>
  </si>
  <si>
    <t>收获符咒</t>
  </si>
  <si>
    <t>shouhuo</t>
  </si>
  <si>
    <t>fuzhou_wz_shouhuo</t>
  </si>
  <si>
    <t>增加从宝箱怪物获得的铜钱</t>
  </si>
  <si>
    <t>财富符咒</t>
  </si>
  <si>
    <t>caifu</t>
  </si>
  <si>
    <t>fuzhou_wz_caifu</t>
  </si>
  <si>
    <t>增加铜钱掉落,增加收益</t>
  </si>
  <si>
    <t>节俭符咒</t>
  </si>
  <si>
    <t>jiejian</t>
  </si>
  <si>
    <t>fuzhou_wz_jiejian</t>
  </si>
  <si>
    <t>减少宠物升级、法宝购买和升级的铜钱花费</t>
  </si>
  <si>
    <t>化缘加时</t>
  </si>
  <si>
    <t>huayuanjs</t>
  </si>
  <si>
    <t>fuzhou_wz_huayuanjs</t>
  </si>
  <si>
    <t>增加主动化缘技能的生效时间</t>
  </si>
  <si>
    <t>继承符咒</t>
  </si>
  <si>
    <t>jicheng</t>
  </si>
  <si>
    <t>fuzhou_wz_jicheng</t>
  </si>
  <si>
    <t>增加转生后的初始铜钱,转生初始金钱</t>
  </si>
  <si>
    <t>速度符咒</t>
  </si>
  <si>
    <t>sudu</t>
  </si>
  <si>
    <t>fuzhou_wz_sudu</t>
  </si>
  <si>
    <t>增加转生后的自动跳关数</t>
  </si>
  <si>
    <t>变化重启</t>
  </si>
  <si>
    <t>bianhuacq</t>
  </si>
  <si>
    <t>fuzhou_wz_bianhua</t>
  </si>
  <si>
    <t>减少七十二变技能的冷却时间</t>
  </si>
  <si>
    <t>佛光再现</t>
  </si>
  <si>
    <t>foguangzx</t>
  </si>
  <si>
    <t>fuzhou_wz_foguangzx</t>
  </si>
  <si>
    <t>减少佛光普照技能的冷却时间</t>
  </si>
  <si>
    <t>化缘重启</t>
  </si>
  <si>
    <t>huayuancq</t>
  </si>
  <si>
    <t>fuzhou_wz_huayuancq</t>
  </si>
  <si>
    <t>减少主动化缘技能的冷却时间</t>
  </si>
  <si>
    <t>探索符咒</t>
  </si>
  <si>
    <t>tansuo</t>
  </si>
  <si>
    <t>fuzhou_wz_tansuo</t>
  </si>
  <si>
    <t>增加宝箱怪出现的几率</t>
  </si>
  <si>
    <t>变化加时</t>
  </si>
  <si>
    <t>bianhuajs</t>
  </si>
  <si>
    <t>fuzhou_wz_bianhuajs</t>
  </si>
  <si>
    <t>增加七十二变技能的生效时间</t>
  </si>
  <si>
    <t>分身加时</t>
  </si>
  <si>
    <t>fenshenjs</t>
  </si>
  <si>
    <t>fuzhou_wz_fenshenjs</t>
  </si>
  <si>
    <t>增加分身有术技能的生效时间</t>
  </si>
  <si>
    <t>雷电符咒</t>
  </si>
  <si>
    <t>leidian</t>
  </si>
  <si>
    <t>fuzhou_wz_leidian</t>
  </si>
  <si>
    <t>增加点击暴击伤害</t>
  </si>
  <si>
    <t>虔诚符咒</t>
  </si>
  <si>
    <t>qiancheng</t>
  </si>
  <si>
    <t>fuzhou_wz_qiancheng</t>
  </si>
  <si>
    <t>增加内丹提升伤害效果</t>
  </si>
  <si>
    <t>潜能加时</t>
  </si>
  <si>
    <t>qiannengjs</t>
  </si>
  <si>
    <t>fuzhou_wz_qiannengjs</t>
  </si>
  <si>
    <t>增加激发潜能技能生效时间</t>
  </si>
  <si>
    <t>盗贼符咒</t>
  </si>
  <si>
    <t>daozei</t>
  </si>
  <si>
    <t>fuzhou_wz_daozei</t>
  </si>
  <si>
    <t>增加得到10倍金币的概率</t>
  </si>
  <si>
    <t>指纹符咒</t>
  </si>
  <si>
    <t>zhiwen</t>
  </si>
  <si>
    <t>fuzhou_wz_zhiwen</t>
  </si>
  <si>
    <t>增加主角伤害转化为宠物伤害的百分比</t>
  </si>
  <si>
    <t>生财重启</t>
  </si>
  <si>
    <t>shengcaicq</t>
  </si>
  <si>
    <t>fuzhou_wz_shengcaicq</t>
  </si>
  <si>
    <t>减少生财之道技能的冷却时间</t>
  </si>
  <si>
    <t>生财加时</t>
  </si>
  <si>
    <t>shengcaijs</t>
  </si>
  <si>
    <t>fuzhou_wz_shengcaijs</t>
  </si>
  <si>
    <t>增加生财之道技能的生效时间</t>
  </si>
  <si>
    <t>狩猎符咒</t>
  </si>
  <si>
    <t>shoulie</t>
  </si>
  <si>
    <t>fuzhou_wz_shoulie</t>
  </si>
  <si>
    <t>增加boss掉落修为的概率</t>
  </si>
  <si>
    <t>佛光加时</t>
  </si>
  <si>
    <t>foguangjs</t>
  </si>
  <si>
    <t>fuzhou_wz_foguangjs</t>
  </si>
  <si>
    <t>增加佛光普照技能的生效时间</t>
  </si>
  <si>
    <t>愤怒符咒</t>
  </si>
  <si>
    <t>fennu</t>
  </si>
  <si>
    <t>fuzhou_wz_fennu</t>
  </si>
  <si>
    <t>增加点击暴击率</t>
  </si>
  <si>
    <t>分身重启</t>
  </si>
  <si>
    <t>fenshencq</t>
  </si>
  <si>
    <t>fuzhou_wz_fenshencq</t>
  </si>
  <si>
    <t>减少分身有术技能的冷却时间</t>
  </si>
  <si>
    <t>疾病符咒</t>
  </si>
  <si>
    <t>jibing</t>
  </si>
  <si>
    <t>fuzhou_wz_jibing</t>
  </si>
  <si>
    <t>减少boss血量百分比</t>
  </si>
  <si>
    <t>平静符咒</t>
  </si>
  <si>
    <t>pingjing</t>
  </si>
  <si>
    <t>fuzhou_wz_pingjing</t>
  </si>
  <si>
    <t>减少普通关卡的怪物总数</t>
  </si>
  <si>
    <t>潜能重启</t>
  </si>
  <si>
    <t>qiannengcq</t>
  </si>
  <si>
    <t>fuzhou_wz_qiannengcq</t>
  </si>
  <si>
    <t>减少激发潜能技能的冷却时间</t>
  </si>
  <si>
    <t>trait</t>
  </si>
  <si>
    <t>黑熊精</t>
  </si>
  <si>
    <t>boss1</t>
  </si>
  <si>
    <t>无</t>
  </si>
  <si>
    <t>白骨精</t>
  </si>
  <si>
    <t>boss2</t>
  </si>
  <si>
    <t>哪吒</t>
  </si>
  <si>
    <t>boss3</t>
  </si>
  <si>
    <t>精细鬼（金）</t>
  </si>
  <si>
    <t>boss9</t>
  </si>
  <si>
    <t>精细鬼（木）</t>
  </si>
  <si>
    <t>boss10</t>
  </si>
  <si>
    <t>精细鬼（水）</t>
  </si>
  <si>
    <t>boss11</t>
  </si>
  <si>
    <t>精细鬼（火）</t>
  </si>
  <si>
    <t>boss12</t>
  </si>
  <si>
    <t>精细鬼（土）</t>
  </si>
  <si>
    <t>boss13</t>
  </si>
  <si>
    <t>奔波儿灞（金）</t>
  </si>
  <si>
    <t>boss4</t>
  </si>
  <si>
    <t>奔波儿灞（木）</t>
  </si>
  <si>
    <t>boss5</t>
  </si>
  <si>
    <t>奔波儿灞（水）</t>
  </si>
  <si>
    <t>boss6</t>
  </si>
  <si>
    <t>奔波儿灞（火）</t>
  </si>
  <si>
    <t>boss7</t>
  </si>
  <si>
    <t>奔波儿灞（土）</t>
  </si>
  <si>
    <t>boss8</t>
  </si>
  <si>
    <t>宝箱boss</t>
  </si>
  <si>
    <t>boss36</t>
  </si>
  <si>
    <t>value</t>
  </si>
  <si>
    <t>累计登录5次</t>
  </si>
  <si>
    <t>宠物升级可以解锁主动技能</t>
  </si>
  <si>
    <t>累计登录10次</t>
  </si>
  <si>
    <t>累计登录20次</t>
  </si>
  <si>
    <t>连续登录3次</t>
  </si>
  <si>
    <t>战力达到5级</t>
  </si>
  <si>
    <t>战力达到10级</t>
  </si>
  <si>
    <t>战力达到15级</t>
  </si>
  <si>
    <t>战力达到20级</t>
  </si>
  <si>
    <t>战力达到25级</t>
  </si>
  <si>
    <t>累计提升宠物等级10级</t>
  </si>
  <si>
    <t>通关10个关卡</t>
  </si>
  <si>
    <t>转生后游戏从头开始，过关更轻松</t>
  </si>
  <si>
    <t>累计提升法宝等级25级</t>
  </si>
  <si>
    <t>法宝升级可以解锁法宝技能</t>
  </si>
  <si>
    <t>挑战1次boss</t>
  </si>
  <si>
    <t>反正都是要打的，不打白不打</t>
  </si>
  <si>
    <t>收取1次挂机奖励</t>
  </si>
  <si>
    <t>离线也是有收益的哦</t>
  </si>
  <si>
    <t>累计提升符咒5级</t>
  </si>
  <si>
    <t>符咒等级越高，实力越强</t>
  </si>
  <si>
    <t>获得2点修为</t>
  </si>
  <si>
    <t>修为可以提升各种能力</t>
  </si>
  <si>
    <t>获得50钻石</t>
  </si>
  <si>
    <t>钻石可以购买商品</t>
  </si>
  <si>
    <t>佛音梵吟</t>
  </si>
  <si>
    <t>点石成金</t>
  </si>
  <si>
    <t>万佛朝宗</t>
  </si>
  <si>
    <t>基础伤害</t>
  </si>
  <si>
    <t>基础更新</t>
  </si>
  <si>
    <t>基础成本</t>
  </si>
  <si>
    <t>金刚琢</t>
  </si>
  <si>
    <t>jingangzhuo</t>
  </si>
  <si>
    <t>又名“金刚套”，善能变化，水火不侵，能套诸物。</t>
  </si>
  <si>
    <t>fabao_wz_jgz</t>
  </si>
  <si>
    <t>芭蕉扇</t>
  </si>
  <si>
    <t>bajiaoshan</t>
  </si>
  <si>
    <t>自混沌开辟以来，天地产成的一个灵宝，乃太阳之精叶。</t>
  </si>
  <si>
    <t>fabao_wz_bjs</t>
  </si>
  <si>
    <t>人种袋</t>
  </si>
  <si>
    <t>renzhongdai</t>
  </si>
  <si>
    <t>弥勒佛的一个褡包，唤作后天袋子，俗名叫做人种袋。</t>
  </si>
  <si>
    <t>fabao_wz_rzd</t>
  </si>
  <si>
    <t>紫金红葫芦</t>
  </si>
  <si>
    <t>zijinhulu</t>
  </si>
  <si>
    <t>混沌初分，天开地辟时，昆仑上下一缕仙藤结着的葫芦。</t>
  </si>
  <si>
    <t>fabao_wz_zjhhl</t>
  </si>
  <si>
    <t>幌金绳</t>
  </si>
  <si>
    <t>huangjinsheng</t>
  </si>
  <si>
    <t>老君的腰带。老君赋予了其灵性。</t>
  </si>
  <si>
    <t>fabao_wz_hjs</t>
  </si>
  <si>
    <t>羊脂玉净瓶</t>
  </si>
  <si>
    <t>yangzhiyujingping</t>
  </si>
  <si>
    <t>太上老君盛水的瓶子。</t>
  </si>
  <si>
    <t>fabao_wz_yzyjp</t>
  </si>
  <si>
    <t>紫金铃</t>
  </si>
  <si>
    <t>zijinling</t>
  </si>
  <si>
    <t>老君在八卦炉中炼的一件宝贝，送给了观音。</t>
  </si>
  <si>
    <t>fabao_wz_zjl</t>
  </si>
  <si>
    <t>阴阳二气瓶</t>
  </si>
  <si>
    <t>yinyangerqiping</t>
  </si>
  <si>
    <t>乃阴阳二气之宝，内有七宝八卦，二十四气。</t>
  </si>
  <si>
    <t>fabao_wz_yyeqp</t>
  </si>
  <si>
    <t>捣药杵</t>
  </si>
  <si>
    <t>daoyaochu</t>
  </si>
  <si>
    <t>玉兔偷下凡间时，随身携带的捣药玉杵。</t>
  </si>
  <si>
    <t>fabao_wz_dyc</t>
  </si>
  <si>
    <t>如意金箍棒</t>
  </si>
  <si>
    <t>jingubang</t>
  </si>
  <si>
    <t>太上老君冶炼的神铁，被大禹借走治水后遗下的定海神针。</t>
  </si>
  <si>
    <t>fabao_wz_ryjgb</t>
  </si>
  <si>
    <t>九齿钉耙</t>
  </si>
  <si>
    <t>jiuchidingpa</t>
  </si>
  <si>
    <t>全名称为上宝沁金钯，乃太上老君用神冰铁亲自锤炼。</t>
  </si>
  <si>
    <t>777600000</t>
  </si>
  <si>
    <t>fabao_wz_jcdp</t>
  </si>
  <si>
    <t>金铙</t>
  </si>
  <si>
    <t>jinnao</t>
  </si>
  <si>
    <t>弥勒佛的法宝。</t>
  </si>
  <si>
    <t>27475042</t>
  </si>
  <si>
    <t>4665600000</t>
  </si>
  <si>
    <t>1</t>
  </si>
  <si>
    <t>8</t>
  </si>
  <si>
    <t>2</t>
  </si>
  <si>
    <t>3</t>
  </si>
  <si>
    <t>4</t>
  </si>
  <si>
    <t>5</t>
  </si>
  <si>
    <t>fabao_wz_jn</t>
  </si>
  <si>
    <t>七星剑</t>
  </si>
  <si>
    <t>qixingjian</t>
  </si>
  <si>
    <t>原为太上老君炼魔的宝剑</t>
  </si>
  <si>
    <t>120890188</t>
  </si>
  <si>
    <t>27993600000</t>
  </si>
  <si>
    <t>9</t>
  </si>
  <si>
    <t>6</t>
  </si>
  <si>
    <t>fabao_wz_qxj</t>
  </si>
  <si>
    <t>五彩霞衣</t>
  </si>
  <si>
    <t>wucaixiayi</t>
  </si>
  <si>
    <t>紫阳真人用旧棕衣变化而成。</t>
  </si>
  <si>
    <t>531916830</t>
  </si>
  <si>
    <t>167961600000</t>
  </si>
  <si>
    <t>11</t>
  </si>
  <si>
    <t>fabao_wz_wcxy</t>
  </si>
  <si>
    <t>定风珠</t>
  </si>
  <si>
    <t>dingfengzhu</t>
  </si>
  <si>
    <t>如来佛祖赐予灵吉菩萨用来监押黄风怪的两件法宝之一。</t>
  </si>
  <si>
    <t>2340434056</t>
  </si>
  <si>
    <t>1007769600000</t>
  </si>
  <si>
    <t>fabao_wz_dfz</t>
  </si>
  <si>
    <t>飞龙宝杖</t>
  </si>
  <si>
    <t>feilongbaozhang</t>
  </si>
  <si>
    <t>10297909846</t>
  </si>
  <si>
    <t>6046617600000</t>
  </si>
  <si>
    <t>fabao_wz_flbz</t>
  </si>
  <si>
    <t>玲珑宝塔</t>
  </si>
  <si>
    <t>linglongbaota</t>
  </si>
  <si>
    <t>由灵鹫山元觉洞燃灯道人授予托塔天王李靖的法宝。</t>
  </si>
  <si>
    <t>45310803323</t>
  </si>
  <si>
    <t>36279705600000</t>
  </si>
  <si>
    <t>fabao_wz_llbt</t>
  </si>
  <si>
    <t>照妖镜</t>
  </si>
  <si>
    <t>zhaoyaojing</t>
  </si>
  <si>
    <t>能找出妖魔鬼怪原形的宝镜。</t>
  </si>
  <si>
    <t>199367534622</t>
  </si>
  <si>
    <t>217678233600000</t>
  </si>
  <si>
    <t>fabao_wz_zyj</t>
  </si>
  <si>
    <t>紫竹篮</t>
  </si>
  <si>
    <t>zizhulan</t>
  </si>
  <si>
    <t>观音菩萨为悟空降服灵感大王而采集紫竹编制。</t>
  </si>
  <si>
    <t>877217152341</t>
  </si>
  <si>
    <t>1306069401600000</t>
  </si>
  <si>
    <t>fabao_wz_zzl</t>
  </si>
  <si>
    <t>辟火罩</t>
  </si>
  <si>
    <t>pihuozhao</t>
  </si>
  <si>
    <t>广目天王借予悟空的法宝，可隔绝火焰。</t>
  </si>
  <si>
    <t>3859755470300</t>
  </si>
  <si>
    <t>7836416409600000</t>
  </si>
  <si>
    <t>fabao_wz_phz</t>
  </si>
  <si>
    <t>紫金龙</t>
  </si>
  <si>
    <t>zijinlong</t>
  </si>
  <si>
    <t>广目天王手中的法宝，形如赤龙。</t>
  </si>
  <si>
    <t>16982924069324</t>
  </si>
  <si>
    <t>47018498457600000</t>
  </si>
  <si>
    <t>fabao_wz_zijl</t>
  </si>
  <si>
    <t>混元珍珠伞</t>
  </si>
  <si>
    <t>hunyuansan</t>
  </si>
  <si>
    <t>多闻天王手中法宝。</t>
  </si>
  <si>
    <t>74724865905025</t>
  </si>
  <si>
    <t>282110990745600000</t>
  </si>
  <si>
    <t>fabao_wz_hyzzs</t>
  </si>
  <si>
    <t>碧玉琵琶</t>
  </si>
  <si>
    <t>biyupipa</t>
  </si>
  <si>
    <t>持国天王手中法宝。</t>
  </si>
  <si>
    <t>328789409982113</t>
  </si>
  <si>
    <t>1692665944473600000</t>
  </si>
  <si>
    <t>fabao_wz_bypp</t>
  </si>
  <si>
    <t>青光宝剑</t>
  </si>
  <si>
    <t>qingguangjian</t>
  </si>
  <si>
    <t>增长天王手中法宝。</t>
  </si>
  <si>
    <t>1446673403921300</t>
  </si>
  <si>
    <t>10155995666841600000</t>
  </si>
  <si>
    <t>fabao_wz_qgbj</t>
  </si>
  <si>
    <t>火尖枪</t>
  </si>
  <si>
    <t>huojianqiang</t>
  </si>
  <si>
    <t>哪吒手中武器，舞动时可喷吐三昧真火。</t>
  </si>
  <si>
    <t>6365362977253700</t>
  </si>
  <si>
    <t>60935974001049600000</t>
  </si>
  <si>
    <t>fabao_wz_hjq</t>
  </si>
  <si>
    <t>初级觉醒</t>
  </si>
  <si>
    <t>baowu_cjjx</t>
  </si>
  <si>
    <t>30:1</t>
  </si>
  <si>
    <t>自身伤害+100%</t>
  </si>
  <si>
    <t>力量觉醒</t>
  </si>
  <si>
    <t>baowu_lljx</t>
  </si>
  <si>
    <t>31:1.5</t>
  </si>
  <si>
    <t>自身伤害+150%</t>
  </si>
  <si>
    <t>精神觉醒</t>
  </si>
  <si>
    <t>baowu_jsjx</t>
  </si>
  <si>
    <t>31:2</t>
  </si>
  <si>
    <t>自身伤害+200%</t>
  </si>
  <si>
    <t>气脉觉醒</t>
  </si>
  <si>
    <t>baowu_qmjx</t>
  </si>
  <si>
    <t>31:2.5</t>
  </si>
  <si>
    <t>自身伤害+250%</t>
  </si>
  <si>
    <t>元神觉醒</t>
  </si>
  <si>
    <t>beishu4_l</t>
  </si>
  <si>
    <t>31:3</t>
  </si>
  <si>
    <t>每升至25的倍数级，自身伤害*4</t>
  </si>
  <si>
    <t>神脉觉醒</t>
  </si>
  <si>
    <t>beishu10_l</t>
  </si>
  <si>
    <t>31:9</t>
  </si>
  <si>
    <t>每升至1000的倍数级，自身伤害*10</t>
  </si>
  <si>
    <t>baowu_fyfy</t>
  </si>
  <si>
    <t>35:0.005</t>
  </si>
  <si>
    <t>法宝总伤害的0.5%增加给点击伤害</t>
  </si>
  <si>
    <t>元神之怒</t>
  </si>
  <si>
    <t>baowu_yszn</t>
  </si>
  <si>
    <t>25:0.025</t>
  </si>
  <si>
    <t>点击暴击率+2.5%</t>
  </si>
  <si>
    <t>baowu_dscj</t>
  </si>
  <si>
    <t>36:0.25</t>
  </si>
  <si>
    <t>铜钱掉落量+25%</t>
  </si>
  <si>
    <t>原始之力</t>
  </si>
  <si>
    <t>baowu_yszl</t>
  </si>
  <si>
    <t>16:5</t>
  </si>
  <si>
    <t>点击暴击伤害倍率+5</t>
  </si>
  <si>
    <t>baowu_wfcz</t>
  </si>
  <si>
    <t>37:0.25</t>
  </si>
  <si>
    <t>所有法宝伤害+25%</t>
  </si>
  <si>
    <t>cost</t>
  </si>
  <si>
    <t>少量元宝</t>
  </si>
  <si>
    <t>ding_yb</t>
  </si>
  <si>
    <t>sd_wz_slyb</t>
  </si>
  <si>
    <t>60元宝</t>
  </si>
  <si>
    <t>一袋元宝</t>
  </si>
  <si>
    <t>sd_wz_ydyb</t>
  </si>
  <si>
    <t>300元宝+赠送20元宝</t>
  </si>
  <si>
    <t>一堆元宝</t>
  </si>
  <si>
    <t>sd_ydyb</t>
  </si>
  <si>
    <t>sd_wz_yidyb</t>
  </si>
  <si>
    <t>680元宝+赠送70元宝</t>
  </si>
  <si>
    <t>一箱元宝</t>
  </si>
  <si>
    <t>sd_yxjb</t>
  </si>
  <si>
    <t>sd_wz_yxyb</t>
  </si>
  <si>
    <t>1180元宝+赠送140元宝</t>
  </si>
  <si>
    <t>一车元宝</t>
  </si>
  <si>
    <t>sd_ycjb</t>
  </si>
  <si>
    <t>sd_wz_ycyb</t>
  </si>
  <si>
    <t>1980元宝+赠送300元宝</t>
  </si>
  <si>
    <t>一仓库元宝</t>
  </si>
  <si>
    <t>sd_yckjb</t>
  </si>
  <si>
    <t>sd_wz_yckyb</t>
  </si>
  <si>
    <t>4880元宝+赠送900元宝</t>
  </si>
  <si>
    <t>一座矿山</t>
  </si>
  <si>
    <t>sd_yzks</t>
  </si>
  <si>
    <t>sd_wz_yzks</t>
  </si>
  <si>
    <t>6480元宝+赠送1300元宝</t>
  </si>
  <si>
    <t>仙石</t>
  </si>
  <si>
    <t>sd_cw_ys</t>
  </si>
  <si>
    <t>sd_cwwz_ys</t>
  </si>
  <si>
    <t>孕育悟空的仙石。因受天雷击打，故具有自动攻击的能力！</t>
  </si>
  <si>
    <t>卷帘大将</t>
  </si>
  <si>
    <t>sd_cw_ss</t>
  </si>
  <si>
    <t>sd_cwwz_ss</t>
  </si>
  <si>
    <t>拥有卷帘大将后，从第80关开始，每突破20关，都可以获得额外的修为。</t>
  </si>
  <si>
    <t>天蓬元帅</t>
  </si>
  <si>
    <t>sd_cw_bj</t>
  </si>
  <si>
    <t>sd_cwwz_bj</t>
  </si>
  <si>
    <t>拥有天蓬元帅后，从第95关开始，每突破20关，都可以获得额外1个佛光。每奖励关产出1次。</t>
  </si>
  <si>
    <t>东海太子</t>
  </si>
  <si>
    <t>sd_cw_ltz</t>
  </si>
  <si>
    <t>sd_cwwz_ltz</t>
  </si>
  <si>
    <t>拥有东海太子后，从第25关开始，每突破20关，都可以获得大量金币。</t>
  </si>
  <si>
    <t>东土圣僧</t>
  </si>
  <si>
    <t>sd_cw_ts</t>
  </si>
  <si>
    <t>sd_cwwz_ts</t>
  </si>
  <si>
    <t>拥有东土圣僧后，每转生一次，都会获得宠物攻击力和角色攻击力+100%的效果。</t>
  </si>
  <si>
    <t>一袋金币</t>
  </si>
  <si>
    <t>sd_ydjbi</t>
  </si>
  <si>
    <t>ding_jb</t>
  </si>
  <si>
    <t>sd_wz_ydjb</t>
  </si>
  <si>
    <t>当前关卡对应的金钱数*配置的倍数</t>
  </si>
  <si>
    <t>当前关卡对应的金钱数*商店购买金钱倍数(常量表)</t>
  </si>
  <si>
    <t>桃子</t>
  </si>
  <si>
    <t>monster1</t>
  </si>
  <si>
    <t>西瓜</t>
  </si>
  <si>
    <t>monster2</t>
  </si>
  <si>
    <t>梨子</t>
  </si>
  <si>
    <t>葡萄</t>
  </si>
  <si>
    <t>monster4</t>
  </si>
  <si>
    <t>苹果</t>
  </si>
  <si>
    <t>虾兵（金）</t>
  </si>
  <si>
    <t>monster11</t>
  </si>
  <si>
    <t>虾兵（木）</t>
  </si>
  <si>
    <t>monster12</t>
  </si>
  <si>
    <t>虾兵（水）</t>
  </si>
  <si>
    <t>monster13</t>
  </si>
  <si>
    <t>虾兵（火）</t>
  </si>
  <si>
    <t>monster14</t>
  </si>
  <si>
    <t>虾兵（土）</t>
  </si>
  <si>
    <t>monster15</t>
  </si>
  <si>
    <t>蟹将（金）</t>
  </si>
  <si>
    <t>monster6</t>
  </si>
  <si>
    <t>蟹将（木）</t>
  </si>
  <si>
    <t>monster7</t>
  </si>
  <si>
    <t>蟹将（水）</t>
  </si>
  <si>
    <t>monster8</t>
  </si>
  <si>
    <t>蟹将（火）</t>
  </si>
  <si>
    <t>monster9</t>
  </si>
  <si>
    <t>蟹将（土）</t>
  </si>
  <si>
    <t>monster10</t>
  </si>
  <si>
    <t>童男</t>
  </si>
  <si>
    <t>monster17</t>
  </si>
  <si>
    <t>童女</t>
  </si>
  <si>
    <t>monster16</t>
  </si>
  <si>
    <t>紫金钵</t>
  </si>
  <si>
    <t>zijinbo</t>
  </si>
  <si>
    <t>唐僧西行时化斋用的饭钵，不仅能装饭，还能跳起来打人！</t>
  </si>
  <si>
    <t>xianshi</t>
  </si>
  <si>
    <t>1;2;7</t>
  </si>
  <si>
    <t>shaseng</t>
  </si>
  <si>
    <t>原为天宫玉帝卷帘大将，因失手打翻琉璃盏被贬流沙河。</t>
  </si>
  <si>
    <t>11;12;3;13</t>
  </si>
  <si>
    <t>zhubajie</t>
  </si>
  <si>
    <t>为玉帝掌管天河的天蓬元帅，醉酒调戏嫦娥被贬下凡，却错投了猪胎。</t>
  </si>
  <si>
    <t>14;15;3;16</t>
  </si>
  <si>
    <t>bailongma</t>
  </si>
  <si>
    <t>本是西海龙王三太子，触犯天条获罪，被观音点化保护唐僧。</t>
  </si>
  <si>
    <t>8;9;3;10</t>
  </si>
  <si>
    <t>tangseng</t>
  </si>
  <si>
    <t>金蝉子转世，为取真经前往西天极乐净土。</t>
  </si>
  <si>
    <t>17;18;3;19</t>
  </si>
  <si>
    <t>紫霞仙子</t>
  </si>
  <si>
    <t>zixiaxianzi</t>
  </si>
  <si>
    <t>原是如来佛祖的灯芯，为寻找自己的爱情私下凡间。</t>
  </si>
  <si>
    <t>5;6;4</t>
  </si>
  <si>
    <t>奖励类型</t>
  </si>
  <si>
    <t>代币</t>
  </si>
  <si>
    <t>金币</t>
  </si>
  <si>
    <t>修为</t>
  </si>
  <si>
    <t>佛光</t>
  </si>
  <si>
    <t>矿石1</t>
  </si>
  <si>
    <t>荣誉</t>
  </si>
  <si>
    <t>万能碎片1</t>
  </si>
  <si>
    <t>万能碎片2</t>
  </si>
  <si>
    <t>体力</t>
  </si>
  <si>
    <t>佛光分配次数</t>
  </si>
  <si>
    <t>矿石2</t>
  </si>
  <si>
    <t>矿石3</t>
  </si>
  <si>
    <t>公会贡献</t>
  </si>
  <si>
    <t>公会经验</t>
  </si>
  <si>
    <t>公会战积分</t>
  </si>
  <si>
    <t>公会战矿石1</t>
  </si>
  <si>
    <t>公会战矿石2</t>
  </si>
  <si>
    <t>魔宠总经验</t>
  </si>
  <si>
    <t>内丹</t>
  </si>
  <si>
    <t>伤害*1.5倍效果</t>
  </si>
  <si>
    <t>金钱*1.5倍效果</t>
  </si>
  <si>
    <t>魂石*2倍效果</t>
  </si>
  <si>
    <t>月卡效果</t>
  </si>
  <si>
    <t>黑熊精碎片</t>
  </si>
  <si>
    <t>白骨精碎片</t>
  </si>
  <si>
    <t>弥勒佛碎片</t>
  </si>
  <si>
    <t>哪吒碎片</t>
  </si>
  <si>
    <t>托塔天王碎片</t>
  </si>
  <si>
    <t>如来佛祖碎片</t>
  </si>
  <si>
    <t>金角大王碎片</t>
  </si>
  <si>
    <t>金池长老碎片</t>
  </si>
  <si>
    <t>太上老君碎片</t>
  </si>
  <si>
    <t>牛魔王碎片</t>
  </si>
  <si>
    <t>刁钻古怪碎片</t>
  </si>
  <si>
    <t>精细鬼碎片</t>
  </si>
  <si>
    <t>奔波儿灞碎片</t>
  </si>
  <si>
    <t>大钻风碎片</t>
  </si>
  <si>
    <t>龟丞相碎片</t>
  </si>
  <si>
    <t>拟人桃子碎片</t>
  </si>
  <si>
    <t>拟人西瓜碎片</t>
  </si>
  <si>
    <t>拟人梨子碎片</t>
  </si>
  <si>
    <t>拟人葡萄碎片</t>
  </si>
  <si>
    <t>拟人苹果碎片</t>
  </si>
  <si>
    <t>女弓手碎片</t>
  </si>
  <si>
    <t>虾兵碎片</t>
  </si>
  <si>
    <t>蟹将碎片</t>
  </si>
  <si>
    <t>仙童碎片</t>
  </si>
  <si>
    <t>仙女碎片</t>
  </si>
  <si>
    <t>弥勒佛</t>
  </si>
  <si>
    <t>托塔天王</t>
  </si>
  <si>
    <t>如来佛祖</t>
  </si>
  <si>
    <t>金角大王</t>
  </si>
  <si>
    <t>金池长老</t>
  </si>
  <si>
    <t>太上老君</t>
  </si>
  <si>
    <t>牛魔王</t>
  </si>
  <si>
    <t>刁钻古怪</t>
  </si>
  <si>
    <t>精细鬼</t>
  </si>
  <si>
    <t>奔波儿灞</t>
  </si>
  <si>
    <t>大钻风</t>
  </si>
  <si>
    <t>龟丞相</t>
  </si>
  <si>
    <t>拟人桃子</t>
  </si>
  <si>
    <t>拟人西瓜</t>
  </si>
  <si>
    <t>拟人梨子</t>
  </si>
  <si>
    <t>拟人葡萄</t>
  </si>
  <si>
    <t>拟人苹果</t>
  </si>
  <si>
    <t>女弓手</t>
  </si>
  <si>
    <t>虾兵</t>
  </si>
  <si>
    <t>蟹将</t>
  </si>
  <si>
    <t>仙童</t>
  </si>
  <si>
    <t>仙女</t>
  </si>
  <si>
    <t>紫金钵碎片</t>
  </si>
  <si>
    <t>仙石碎片</t>
  </si>
  <si>
    <t>卷帘大将碎片</t>
  </si>
  <si>
    <t>天蓬元帅碎片</t>
  </si>
  <si>
    <t>东海太子碎片</t>
  </si>
  <si>
    <t>东土圣僧碎片</t>
  </si>
  <si>
    <t>紫霞仙子碎片</t>
  </si>
  <si>
    <t>最大等级</t>
    <phoneticPr fontId="3" type="noConversion"/>
  </si>
  <si>
    <t>冷却时间</t>
    <phoneticPr fontId="3" type="noConversion"/>
  </si>
  <si>
    <t>duration</t>
    <phoneticPr fontId="3" type="noConversion"/>
  </si>
  <si>
    <t>持续时间</t>
    <phoneticPr fontId="3" type="noConversion"/>
  </si>
  <si>
    <t>影响效果</t>
    <phoneticPr fontId="3" type="noConversion"/>
  </si>
  <si>
    <t>编号</t>
    <phoneticPr fontId="3" type="noConversion"/>
  </si>
  <si>
    <t>名字资源</t>
    <phoneticPr fontId="3" type="noConversion"/>
  </si>
  <si>
    <t>技能影响</t>
    <phoneticPr fontId="3" type="noConversion"/>
  </si>
  <si>
    <t>最大等级</t>
    <phoneticPr fontId="3" type="noConversion"/>
  </si>
  <si>
    <t>trait</t>
    <phoneticPr fontId="3" type="noConversion"/>
  </si>
  <si>
    <t>id</t>
    <phoneticPr fontId="4" type="noConversion"/>
  </si>
  <si>
    <t>name</t>
    <phoneticPr fontId="4" type="noConversion"/>
  </si>
  <si>
    <t>foguang</t>
    <phoneticPr fontId="4" type="noConversion"/>
  </si>
  <si>
    <r>
      <t>1</t>
    </r>
    <r>
      <rPr>
        <sz val="11"/>
        <color theme="1"/>
        <rFont val="宋体"/>
        <family val="3"/>
        <charset val="134"/>
        <scheme val="minor"/>
      </rPr>
      <t>:0.02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</si>
  <si>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:0.3</t>
    </r>
    <phoneticPr fontId="4" type="noConversion"/>
  </si>
  <si>
    <r>
      <t>3</t>
    </r>
    <r>
      <rPr>
        <sz val="11"/>
        <color theme="1"/>
        <rFont val="宋体"/>
        <family val="3"/>
        <charset val="134"/>
        <scheme val="minor"/>
      </rPr>
      <t>:0.02</t>
    </r>
    <phoneticPr fontId="4" type="noConversion"/>
  </si>
  <si>
    <r>
      <t>4</t>
    </r>
    <r>
      <rPr>
        <sz val="11"/>
        <color theme="1"/>
        <rFont val="宋体"/>
        <family val="3"/>
        <charset val="134"/>
        <scheme val="minor"/>
      </rPr>
      <t>:0.5</t>
    </r>
    <phoneticPr fontId="4" type="noConversion"/>
  </si>
  <si>
    <r>
      <t>5</t>
    </r>
    <r>
      <rPr>
        <sz val="11"/>
        <color theme="1"/>
        <rFont val="宋体"/>
        <family val="3"/>
        <charset val="134"/>
        <scheme val="minor"/>
      </rPr>
      <t>:0.05</t>
    </r>
    <phoneticPr fontId="4" type="noConversion"/>
  </si>
  <si>
    <r>
      <t>6</t>
    </r>
    <r>
      <rPr>
        <sz val="11"/>
        <color theme="1"/>
        <rFont val="宋体"/>
        <family val="3"/>
        <charset val="134"/>
        <scheme val="minor"/>
      </rPr>
      <t>:0.02</t>
    </r>
    <phoneticPr fontId="4" type="noConversion"/>
  </si>
  <si>
    <r>
      <t>7</t>
    </r>
    <r>
      <rPr>
        <sz val="11"/>
        <color theme="1"/>
        <rFont val="宋体"/>
        <family val="3"/>
        <charset val="134"/>
        <scheme val="minor"/>
      </rPr>
      <t>:2</t>
    </r>
    <phoneticPr fontId="4" type="noConversion"/>
  </si>
  <si>
    <r>
      <t>8</t>
    </r>
    <r>
      <rPr>
        <sz val="11"/>
        <color theme="1"/>
        <rFont val="宋体"/>
        <family val="3"/>
        <charset val="134"/>
        <scheme val="minor"/>
      </rPr>
      <t>:0.1</t>
    </r>
    <phoneticPr fontId="4" type="noConversion"/>
  </si>
  <si>
    <r>
      <t>9</t>
    </r>
    <r>
      <rPr>
        <sz val="11"/>
        <color theme="1"/>
        <rFont val="宋体"/>
        <family val="3"/>
        <charset val="134"/>
        <scheme val="minor"/>
      </rPr>
      <t>:0.01</t>
    </r>
    <phoneticPr fontId="4" type="noConversion"/>
  </si>
  <si>
    <r>
      <t>1</t>
    </r>
    <r>
      <rPr>
        <sz val="11"/>
        <color theme="1"/>
        <rFont val="宋体"/>
        <family val="3"/>
        <charset val="134"/>
        <scheme val="minor"/>
      </rPr>
      <t>0:0.02</t>
    </r>
    <phoneticPr fontId="4" type="noConversion"/>
  </si>
  <si>
    <t>11:0.02</t>
    <phoneticPr fontId="4" type="noConversion"/>
  </si>
  <si>
    <t>12:0.02</t>
    <phoneticPr fontId="4" type="noConversion"/>
  </si>
  <si>
    <r>
      <t>1</t>
    </r>
    <r>
      <rPr>
        <sz val="11"/>
        <color theme="1"/>
        <rFont val="宋体"/>
        <family val="3"/>
        <charset val="134"/>
        <scheme val="minor"/>
      </rPr>
      <t>3:0.002</t>
    </r>
    <phoneticPr fontId="4" type="noConversion"/>
  </si>
  <si>
    <r>
      <t>1</t>
    </r>
    <r>
      <rPr>
        <sz val="11"/>
        <color theme="1"/>
        <rFont val="宋体"/>
        <family val="3"/>
        <charset val="134"/>
        <scheme val="minor"/>
      </rPr>
      <t>4:2</t>
    </r>
    <phoneticPr fontId="4" type="noConversion"/>
  </si>
  <si>
    <r>
      <t>1</t>
    </r>
    <r>
      <rPr>
        <sz val="11"/>
        <color theme="1"/>
        <rFont val="宋体"/>
        <family val="3"/>
        <charset val="134"/>
        <scheme val="minor"/>
      </rPr>
      <t>5:2</t>
    </r>
    <phoneticPr fontId="4" type="noConversion"/>
  </si>
  <si>
    <r>
      <t>1</t>
    </r>
    <r>
      <rPr>
        <sz val="11"/>
        <color theme="1"/>
        <rFont val="宋体"/>
        <family val="3"/>
        <charset val="134"/>
        <scheme val="minor"/>
      </rPr>
      <t>6:0.1</t>
    </r>
    <phoneticPr fontId="4" type="noConversion"/>
  </si>
  <si>
    <r>
      <t>1</t>
    </r>
    <r>
      <rPr>
        <sz val="11"/>
        <color theme="1"/>
        <rFont val="宋体"/>
        <family val="3"/>
        <charset val="134"/>
        <scheme val="minor"/>
      </rPr>
      <t>7:0.002</t>
    </r>
    <phoneticPr fontId="4" type="noConversion"/>
  </si>
  <si>
    <r>
      <t>1</t>
    </r>
    <r>
      <rPr>
        <sz val="11"/>
        <color theme="1"/>
        <rFont val="宋体"/>
        <family val="3"/>
        <charset val="134"/>
        <scheme val="minor"/>
      </rPr>
      <t>8:2</t>
    </r>
    <phoneticPr fontId="4" type="noConversion"/>
  </si>
  <si>
    <r>
      <t>1</t>
    </r>
    <r>
      <rPr>
        <sz val="11"/>
        <color theme="1"/>
        <rFont val="宋体"/>
        <family val="3"/>
        <charset val="134"/>
        <scheme val="minor"/>
      </rPr>
      <t>9:0.0025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</si>
  <si>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0:0.0002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</si>
  <si>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1:0.02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</si>
  <si>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2:2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</si>
  <si>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3:0.01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</si>
  <si>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4:2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</si>
  <si>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5:0.005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</si>
  <si>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6:0.02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</si>
  <si>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7:0.01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</si>
  <si>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8:0.01</t>
    </r>
    <phoneticPr fontId="4" type="noConversion"/>
  </si>
  <si>
    <r>
      <t>2</t>
    </r>
    <r>
      <rPr>
        <sz val="11"/>
        <color theme="1"/>
        <rFont val="宋体"/>
        <family val="3"/>
        <charset val="134"/>
        <scheme val="minor"/>
      </rPr>
      <t>9:0.02</t>
    </r>
    <phoneticPr fontId="4" type="noConversion"/>
  </si>
  <si>
    <t>描述</t>
    <phoneticPr fontId="3" type="noConversion"/>
  </si>
  <si>
    <t>名称资源名</t>
    <phoneticPr fontId="3" type="noConversion"/>
  </si>
  <si>
    <t>activeSkill_zdhy</t>
    <phoneticPr fontId="3" type="noConversion"/>
  </si>
  <si>
    <t>activeSkill_fsys</t>
    <phoneticPr fontId="3" type="noConversion"/>
  </si>
  <si>
    <t>activeSkill_jfqn</t>
    <phoneticPr fontId="3" type="noConversion"/>
  </si>
  <si>
    <t>activeSkill_sczd</t>
    <phoneticPr fontId="3" type="noConversion"/>
  </si>
  <si>
    <t>activeSkill_fgpz</t>
    <phoneticPr fontId="3" type="noConversion"/>
  </si>
  <si>
    <t>activeSkill_qseb</t>
    <phoneticPr fontId="3" type="noConversion"/>
  </si>
  <si>
    <t>effectId</t>
    <phoneticPr fontId="3" type="noConversion"/>
  </si>
  <si>
    <r>
      <t>cool</t>
    </r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own</t>
    </r>
    <phoneticPr fontId="3" type="noConversion"/>
  </si>
  <si>
    <r>
      <t>i</t>
    </r>
    <r>
      <rPr>
        <sz val="11"/>
        <color theme="1"/>
        <rFont val="宋体"/>
        <family val="3"/>
        <charset val="134"/>
        <scheme val="minor"/>
      </rPr>
      <t>conR</t>
    </r>
    <r>
      <rPr>
        <sz val="11"/>
        <color theme="1"/>
        <rFont val="宋体"/>
        <charset val="134"/>
        <scheme val="minor"/>
      </rPr>
      <t>es</t>
    </r>
    <phoneticPr fontId="3" type="noConversion"/>
  </si>
  <si>
    <t>nameRes</t>
    <phoneticPr fontId="4" type="noConversion"/>
  </si>
  <si>
    <t>fuzhou_wz_foguang</t>
    <phoneticPr fontId="4" type="noConversion"/>
  </si>
  <si>
    <t>iconRes</t>
    <phoneticPr fontId="4" type="noConversion"/>
  </si>
  <si>
    <t>effectId</t>
    <phoneticPr fontId="4" type="noConversion"/>
  </si>
  <si>
    <r>
      <t>maxL</t>
    </r>
    <r>
      <rPr>
        <sz val="11"/>
        <color theme="1"/>
        <rFont val="宋体"/>
        <charset val="134"/>
        <scheme val="minor"/>
      </rPr>
      <t>ev</t>
    </r>
    <r>
      <rPr>
        <sz val="11"/>
        <color theme="1"/>
        <rFont val="宋体"/>
        <family val="3"/>
        <charset val="134"/>
        <scheme val="minor"/>
      </rPr>
      <t>el</t>
    </r>
    <phoneticPr fontId="3" type="noConversion"/>
  </si>
  <si>
    <t>desc</t>
    <phoneticPr fontId="4" type="noConversion"/>
  </si>
  <si>
    <t>maxLevel</t>
    <phoneticPr fontId="4" type="noConversion"/>
  </si>
  <si>
    <t>五行属性</t>
    <phoneticPr fontId="3" type="noConversion"/>
  </si>
  <si>
    <r>
      <t>d</t>
    </r>
    <r>
      <rPr>
        <sz val="11"/>
        <color theme="1"/>
        <rFont val="宋体"/>
        <family val="3"/>
        <charset val="134"/>
        <scheme val="minor"/>
      </rPr>
      <t>raR</t>
    </r>
    <r>
      <rPr>
        <sz val="11"/>
        <color theme="1"/>
        <rFont val="宋体"/>
        <charset val="134"/>
        <scheme val="minor"/>
      </rPr>
      <t>es</t>
    </r>
    <phoneticPr fontId="3" type="noConversion"/>
  </si>
  <si>
    <t>图标资源</t>
    <phoneticPr fontId="3" type="noConversion"/>
  </si>
  <si>
    <t>图标资源</t>
    <phoneticPr fontId="3" type="noConversion"/>
  </si>
  <si>
    <t>龙骨资源</t>
    <phoneticPr fontId="3" type="noConversion"/>
  </si>
  <si>
    <t>iconRes</t>
    <phoneticPr fontId="3" type="noConversion"/>
  </si>
  <si>
    <t>图标</t>
    <phoneticPr fontId="3" type="noConversion"/>
  </si>
  <si>
    <r>
      <t>name</t>
    </r>
    <r>
      <rPr>
        <sz val="11"/>
        <color theme="1"/>
        <rFont val="宋体"/>
        <family val="3"/>
        <charset val="134"/>
        <scheme val="minor"/>
      </rPr>
      <t>Res</t>
    </r>
    <phoneticPr fontId="3" type="noConversion"/>
  </si>
  <si>
    <t>名称资源</t>
    <phoneticPr fontId="3" type="noConversion"/>
  </si>
  <si>
    <t>等级10的技能id</t>
    <phoneticPr fontId="3" type="noConversion"/>
  </si>
  <si>
    <t>等级25的技能id</t>
    <phoneticPr fontId="3" type="noConversion"/>
  </si>
  <si>
    <t>等级50的技能id</t>
    <phoneticPr fontId="3" type="noConversion"/>
  </si>
  <si>
    <t>等级75的技能id</t>
    <phoneticPr fontId="3" type="noConversion"/>
  </si>
  <si>
    <t>等级100的技能id</t>
    <phoneticPr fontId="3" type="noConversion"/>
  </si>
  <si>
    <t>等级125的技能id</t>
    <phoneticPr fontId="3" type="noConversion"/>
  </si>
  <si>
    <t>等级150的技能id</t>
    <phoneticPr fontId="3" type="noConversion"/>
  </si>
  <si>
    <t>等级175的技能id</t>
    <phoneticPr fontId="3" type="noConversion"/>
  </si>
  <si>
    <t>等级200的技能id</t>
    <phoneticPr fontId="3" type="noConversion"/>
  </si>
  <si>
    <t>等级1000的技能id</t>
    <phoneticPr fontId="3" type="noConversion"/>
  </si>
  <si>
    <r>
      <t>level10S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</si>
  <si>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level25S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</si>
  <si>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level50S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</si>
  <si>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level75S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</si>
  <si>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level100S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</si>
  <si>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level125S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</si>
  <si>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level150S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</si>
  <si>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level175S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</si>
  <si>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level200S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</si>
  <si>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level1000S</t>
    </r>
    <r>
      <rPr>
        <sz val="11"/>
        <color theme="1"/>
        <rFont val="宋体"/>
        <charset val="134"/>
        <scheme val="minor"/>
      </rPr>
      <t>kill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</si>
  <si>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base</t>
    </r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charset val="134"/>
        <scheme val="minor"/>
      </rPr>
      <t>ost</t>
    </r>
    <phoneticPr fontId="3" type="noConversion"/>
  </si>
  <si>
    <r>
      <t>base</t>
    </r>
    <r>
      <rPr>
        <sz val="11"/>
        <color theme="1"/>
        <rFont val="宋体"/>
        <family val="3"/>
        <charset val="134"/>
        <scheme val="minor"/>
      </rPr>
      <t>U</t>
    </r>
    <r>
      <rPr>
        <sz val="11"/>
        <color theme="1"/>
        <rFont val="宋体"/>
        <charset val="134"/>
        <scheme val="minor"/>
      </rPr>
      <t>pdate</t>
    </r>
    <phoneticPr fontId="3" type="noConversion"/>
  </si>
  <si>
    <r>
      <t>base</t>
    </r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amage</t>
    </r>
    <phoneticPr fontId="3" type="noConversion"/>
  </si>
  <si>
    <t>技能影响</t>
    <phoneticPr fontId="3" type="noConversion"/>
  </si>
  <si>
    <r>
      <t>effect</t>
    </r>
    <r>
      <rPr>
        <sz val="11"/>
        <color theme="1"/>
        <rFont val="宋体"/>
        <family val="3"/>
        <charset val="134"/>
        <scheme val="minor"/>
      </rPr>
      <t>Id</t>
    </r>
    <phoneticPr fontId="3" type="noConversion"/>
  </si>
  <si>
    <r>
      <t>name</t>
    </r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es</t>
    </r>
    <phoneticPr fontId="3" type="noConversion"/>
  </si>
  <si>
    <r>
      <t>i</t>
    </r>
    <r>
      <rPr>
        <sz val="11"/>
        <color theme="1"/>
        <rFont val="宋体"/>
        <family val="3"/>
        <charset val="134"/>
        <scheme val="minor"/>
      </rPr>
      <t>conR</t>
    </r>
    <r>
      <rPr>
        <sz val="11"/>
        <color theme="1"/>
        <rFont val="宋体"/>
        <charset val="134"/>
        <scheme val="minor"/>
      </rPr>
      <t>es</t>
    </r>
    <phoneticPr fontId="3" type="noConversion"/>
  </si>
  <si>
    <t>descres</t>
    <phoneticPr fontId="3" type="noConversion"/>
  </si>
  <si>
    <t>ding_yb</t>
    <phoneticPr fontId="3" type="noConversion"/>
  </si>
  <si>
    <t>sd_slyb</t>
    <phoneticPr fontId="3" type="noConversion"/>
  </si>
  <si>
    <t>sd_ydjb</t>
    <phoneticPr fontId="3" type="noConversion"/>
  </si>
  <si>
    <t>花费类型图标</t>
    <phoneticPr fontId="3" type="noConversion"/>
  </si>
  <si>
    <t>商店类型</t>
    <phoneticPr fontId="3" type="noConversion"/>
  </si>
  <si>
    <t>购买次数</t>
    <phoneticPr fontId="3" type="noConversion"/>
  </si>
  <si>
    <t>购买次数类型</t>
    <phoneticPr fontId="3" type="noConversion"/>
  </si>
  <si>
    <t>花费</t>
    <phoneticPr fontId="3" type="noConversion"/>
  </si>
  <si>
    <r>
      <t>商品i</t>
    </r>
    <r>
      <rPr>
        <sz val="11"/>
        <color theme="1"/>
        <rFont val="宋体"/>
        <family val="3"/>
        <charset val="134"/>
        <scheme val="minor"/>
      </rPr>
      <t>d</t>
    </r>
    <phoneticPr fontId="3" type="noConversion"/>
  </si>
  <si>
    <t>值</t>
    <phoneticPr fontId="3" type="noConversion"/>
  </si>
  <si>
    <t>是否时尚？</t>
    <phoneticPr fontId="3" type="noConversion"/>
  </si>
  <si>
    <t>buyTimesType</t>
    <phoneticPr fontId="3" type="noConversion"/>
  </si>
  <si>
    <r>
      <t>buy</t>
    </r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charset val="134"/>
        <scheme val="minor"/>
      </rPr>
      <t>imes</t>
    </r>
    <phoneticPr fontId="3" type="noConversion"/>
  </si>
  <si>
    <r>
      <t>buy</t>
    </r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charset val="134"/>
        <scheme val="minor"/>
      </rPr>
      <t>ype</t>
    </r>
    <phoneticPr fontId="3" type="noConversion"/>
  </si>
  <si>
    <r>
      <t>goods</t>
    </r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charset val="134"/>
        <scheme val="minor"/>
      </rPr>
      <t>d</t>
    </r>
    <phoneticPr fontId="3" type="noConversion"/>
  </si>
  <si>
    <t>isFashion</t>
    <phoneticPr fontId="3" type="noConversion"/>
  </si>
  <si>
    <t>genius</t>
    <phoneticPr fontId="3" type="noConversion"/>
  </si>
  <si>
    <t>天赋</t>
    <phoneticPr fontId="3" type="noConversion"/>
  </si>
  <si>
    <r>
      <t>reward</t>
    </r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charset val="134"/>
        <scheme val="minor"/>
      </rPr>
      <t>ype</t>
    </r>
    <phoneticPr fontId="3" type="noConversion"/>
  </si>
  <si>
    <r>
      <t>monster</t>
    </r>
    <r>
      <rPr>
        <sz val="11"/>
        <color theme="1"/>
        <rFont val="宋体"/>
        <family val="3"/>
        <charset val="134"/>
        <scheme val="minor"/>
      </rPr>
      <t>5</t>
    </r>
    <phoneticPr fontId="3" type="noConversion"/>
  </si>
  <si>
    <r>
      <t>monster</t>
    </r>
    <r>
      <rPr>
        <sz val="11"/>
        <color theme="1"/>
        <rFont val="宋体"/>
        <family val="3"/>
        <charset val="134"/>
        <scheme val="minor"/>
      </rPr>
      <t>3</t>
    </r>
    <phoneticPr fontId="3" type="noConversion"/>
  </si>
  <si>
    <t>nameRes</t>
    <phoneticPr fontId="3" type="noConversion"/>
  </si>
  <si>
    <t>chongwu_wz_zijinbo</t>
  </si>
  <si>
    <t>chongwu_wz_zhubajie</t>
  </si>
  <si>
    <t>chongwu_wz_xianshi</t>
  </si>
  <si>
    <t>chongwu_wz_tangseng</t>
  </si>
  <si>
    <t>chongwu_wz_shaseng</t>
  </si>
  <si>
    <t>chongwu_wz_bailongma</t>
  </si>
  <si>
    <t>chongwu_wz_zixiaxianzi</t>
  </si>
  <si>
    <t>主动技能</t>
    <phoneticPr fontId="3" type="noConversion"/>
  </si>
  <si>
    <t>符咒</t>
    <phoneticPr fontId="3" type="noConversion"/>
  </si>
  <si>
    <t>boss</t>
    <phoneticPr fontId="3" type="noConversion"/>
  </si>
  <si>
    <t>法宝</t>
    <phoneticPr fontId="3" type="noConversion"/>
  </si>
  <si>
    <t>商品</t>
    <phoneticPr fontId="3" type="noConversion"/>
  </si>
  <si>
    <t>法宝技能</t>
    <phoneticPr fontId="3" type="noConversion"/>
  </si>
  <si>
    <t>每日任务？成就？</t>
    <phoneticPr fontId="3" type="noConversion"/>
  </si>
  <si>
    <t>怪物</t>
    <phoneticPr fontId="3" type="noConversion"/>
  </si>
  <si>
    <t>卡牌</t>
    <phoneticPr fontId="3" type="noConversion"/>
  </si>
  <si>
    <t>宠物</t>
    <phoneticPr fontId="3" type="noConversion"/>
  </si>
  <si>
    <t>奖励类型</t>
    <phoneticPr fontId="3" type="noConversion"/>
  </si>
  <si>
    <t>服务端列表id</t>
    <phoneticPr fontId="3" type="noConversion"/>
  </si>
  <si>
    <t>listId</t>
    <phoneticPr fontId="3" type="noConversion"/>
  </si>
  <si>
    <t>25:0.25</t>
    <phoneticPr fontId="3" type="noConversion"/>
  </si>
  <si>
    <t>5:1</t>
    <phoneticPr fontId="3" type="noConversion"/>
  </si>
  <si>
    <r>
      <t>影响i</t>
    </r>
    <r>
      <rPr>
        <sz val="11"/>
        <color theme="1"/>
        <rFont val="宋体"/>
        <family val="3"/>
        <charset val="134"/>
        <scheme val="minor"/>
      </rPr>
      <t>d</t>
    </r>
    <phoneticPr fontId="3" type="noConversion"/>
  </si>
  <si>
    <t>是更新？</t>
    <phoneticPr fontId="3" type="noConversion"/>
  </si>
  <si>
    <t>effect</t>
  </si>
  <si>
    <r>
      <t>is</t>
    </r>
    <r>
      <rPr>
        <sz val="11"/>
        <color theme="1"/>
        <rFont val="宋体"/>
        <family val="3"/>
        <charset val="134"/>
        <scheme val="minor"/>
      </rPr>
      <t>U</t>
    </r>
    <r>
      <rPr>
        <sz val="11"/>
        <color theme="1"/>
        <rFont val="宋体"/>
        <charset val="134"/>
        <scheme val="minor"/>
      </rPr>
      <t>pdate</t>
    </r>
    <phoneticPr fontId="3" type="noConversion"/>
  </si>
  <si>
    <t>没有特殊伤害属性</t>
  </si>
  <si>
    <t>30:2</t>
  </si>
  <si>
    <t>zidongdianji</t>
  </si>
  <si>
    <t>该宠物出战时，会自动攻击对手。并且可以与点击屏幕造成的宠物伤害次数叠加。</t>
  </si>
  <si>
    <t>30:3</t>
  </si>
  <si>
    <t>30:5</t>
  </si>
  <si>
    <t>紫霞仙子出战时可以每秒自动攻击5次，可以与点击屏幕造成的宠物伤害次数叠加。</t>
  </si>
  <si>
    <t>39:0.3</t>
  </si>
  <si>
    <t>quanshuxingsh</t>
  </si>
  <si>
    <t>44:0.1</t>
  </si>
  <si>
    <t>quanshanghaizj</t>
  </si>
  <si>
    <t>增加宠物和角色攻击力</t>
  </si>
  <si>
    <t>45:1</t>
  </si>
  <si>
    <t>chongwujinbi</t>
  </si>
  <si>
    <t>从第25关开始，每突破20关，都可以获得大量金币。</t>
  </si>
  <si>
    <t>40:0.3</t>
  </si>
  <si>
    <t>shuishuxingsh</t>
  </si>
  <si>
    <t>攻击水属性妖魔时，会额外造成伤害</t>
  </si>
  <si>
    <t>46:0.2</t>
  </si>
  <si>
    <t>quanjinengjs</t>
  </si>
  <si>
    <t>减少主动技能冷却时间</t>
  </si>
  <si>
    <t>47:1</t>
  </si>
  <si>
    <t>chongwuxiuwei</t>
  </si>
  <si>
    <t>从第80关开始，每突破20关，都可以获得额外的修为。</t>
  </si>
  <si>
    <t>41:0.3</t>
  </si>
  <si>
    <t>mushuxingsh</t>
  </si>
  <si>
    <t>攻击木属性妖魔时，会额外造成伤害</t>
  </si>
  <si>
    <t>27:0.2</t>
  </si>
  <si>
    <t>bossjianxue</t>
  </si>
  <si>
    <t>减少所有BOSS血量</t>
  </si>
  <si>
    <t>51:1</t>
  </si>
  <si>
    <t>chongwushengguang</t>
  </si>
  <si>
    <t>从第95关开始，每突破20关，都可以获得额外1个佛光。每奖励关产出1次。</t>
  </si>
  <si>
    <t>42:0.3</t>
  </si>
  <si>
    <t>huoshuxingsh</t>
  </si>
  <si>
    <t>攻击火属性妖魔时，会额外造成伤害。</t>
  </si>
  <si>
    <t>48:0.25</t>
  </si>
  <si>
    <t>lixianqianghua</t>
  </si>
  <si>
    <t>增加离线收益</t>
  </si>
  <si>
    <t>49:1</t>
  </si>
  <si>
    <t>chongwuzhuanshengjc</t>
  </si>
  <si>
    <t>每转生一次，都会获得宠物攻击力和角色攻击力+100%的效果。</t>
  </si>
  <si>
    <t>43:0.3</t>
  </si>
  <si>
    <t>tushuxingsh</t>
  </si>
  <si>
    <t>攻击土属性妖魔时，会额外造成伤害</t>
  </si>
  <si>
    <t>50:0.25</t>
  </si>
  <si>
    <t>tb_xhjd</t>
  </si>
  <si>
    <t>降低法宝升级价格</t>
  </si>
  <si>
    <t>宠物天赋</t>
    <phoneticPr fontId="3" type="noConversion"/>
  </si>
  <si>
    <t>图标</t>
    <phoneticPr fontId="3" type="noConversion"/>
  </si>
  <si>
    <r>
      <t>i</t>
    </r>
    <r>
      <rPr>
        <sz val="11"/>
        <color theme="1"/>
        <rFont val="宋体"/>
        <family val="3"/>
        <charset val="134"/>
        <scheme val="minor"/>
      </rPr>
      <t>conRes</t>
    </r>
    <phoneticPr fontId="3" type="noConversion"/>
  </si>
  <si>
    <t>chengjiu_tb_dianji_png</t>
  </si>
  <si>
    <t>图标资源</t>
    <phoneticPr fontId="3" type="noConversion"/>
  </si>
  <si>
    <t>iconRes</t>
    <phoneticPr fontId="3" type="noConversion"/>
  </si>
  <si>
    <t>shenmo_tou_heixiong</t>
  </si>
  <si>
    <t>shenmo_tou_baigu</t>
  </si>
  <si>
    <t>shenmo_tou_nazha</t>
  </si>
  <si>
    <t>shenmo_tou_jingxigui</t>
  </si>
  <si>
    <t>shenmo_tou_benboerba</t>
  </si>
  <si>
    <t>自动攻击次数</t>
    <phoneticPr fontId="3" type="noConversion"/>
  </si>
  <si>
    <t>autoTimes</t>
    <phoneticPr fontId="3" type="noConversion"/>
  </si>
  <si>
    <t>baoxiang</t>
    <phoneticPr fontId="3" type="noConversion"/>
  </si>
  <si>
    <t>战斗配置</t>
  </si>
  <si>
    <t>效果</t>
  </si>
  <si>
    <t>进阶费用</t>
  </si>
  <si>
    <t>强化费用</t>
  </si>
  <si>
    <t>成长曲线</t>
  </si>
  <si>
    <t>战力</t>
  </si>
  <si>
    <t>攻击</t>
  </si>
  <si>
    <t>防御</t>
  </si>
  <si>
    <t>品质</t>
  </si>
  <si>
    <t>技能</t>
  </si>
  <si>
    <t>职业</t>
  </si>
  <si>
    <t>五行属性</t>
  </si>
  <si>
    <t>参数区</t>
  </si>
  <si>
    <t>攻防比</t>
  </si>
  <si>
    <t>品质取值范围</t>
  </si>
  <si>
    <t>碎片消耗基数</t>
  </si>
  <si>
    <t>碎片消耗成长</t>
  </si>
  <si>
    <t>battle</t>
  </si>
  <si>
    <t>adv</t>
  </si>
  <si>
    <t>enhance</t>
  </si>
  <si>
    <t>chipPower</t>
  </si>
  <si>
    <t>powerValue</t>
  </si>
  <si>
    <t>attack</t>
  </si>
  <si>
    <t>defense</t>
  </si>
  <si>
    <t>rtype</t>
  </si>
  <si>
    <r>
      <rPr>
        <sz val="9"/>
        <color theme="1"/>
        <rFont val="宋体"/>
        <family val="3"/>
        <charset val="134"/>
      </rPr>
      <t>action</t>
    </r>
    <r>
      <rPr>
        <sz val="9"/>
        <color theme="1"/>
        <rFont val="宋体"/>
        <family val="3"/>
        <charset val="134"/>
      </rPr>
      <t>1</t>
    </r>
  </si>
  <si>
    <t>action2</t>
  </si>
  <si>
    <r>
      <rPr>
        <sz val="9"/>
        <color theme="1"/>
        <rFont val="宋体"/>
        <family val="3"/>
        <charset val="134"/>
      </rPr>
      <t>action</t>
    </r>
    <r>
      <rPr>
        <sz val="9"/>
        <color theme="1"/>
        <rFont val="宋体"/>
        <family val="3"/>
        <charset val="134"/>
      </rPr>
      <t>3</t>
    </r>
  </si>
  <si>
    <r>
      <rPr>
        <sz val="9"/>
        <color theme="1"/>
        <rFont val="宋体"/>
        <family val="3"/>
        <charset val="134"/>
      </rPr>
      <t>action</t>
    </r>
    <r>
      <rPr>
        <sz val="9"/>
        <color theme="1"/>
        <rFont val="宋体"/>
        <family val="3"/>
        <charset val="134"/>
      </rPr>
      <t>4</t>
    </r>
  </si>
  <si>
    <r>
      <rPr>
        <sz val="9"/>
        <color theme="1"/>
        <rFont val="宋体"/>
        <family val="3"/>
        <charset val="134"/>
      </rPr>
      <t>action</t>
    </r>
    <r>
      <rPr>
        <sz val="9"/>
        <color theme="1"/>
        <rFont val="宋体"/>
        <family val="3"/>
        <charset val="134"/>
      </rPr>
      <t>5</t>
    </r>
  </si>
  <si>
    <t>profession</t>
  </si>
  <si>
    <t>nature</t>
  </si>
  <si>
    <t>DefenseVsAttack</t>
  </si>
  <si>
    <t>chipBase</t>
  </si>
  <si>
    <t>1,1</t>
  </si>
  <si>
    <t>301,1,1</t>
  </si>
  <si>
    <t>悟空</t>
  </si>
  <si>
    <t>61;60</t>
  </si>
  <si>
    <t>61;60;38</t>
  </si>
  <si>
    <t>61;60;38;36</t>
  </si>
  <si>
    <t>61;60;38;36;62</t>
  </si>
  <si>
    <t>3;21</t>
  </si>
  <si>
    <t>3;21;63</t>
  </si>
  <si>
    <t>3;21;63;46</t>
  </si>
  <si>
    <t>3;21;63;46;54</t>
  </si>
  <si>
    <t>6;8</t>
  </si>
  <si>
    <t>6;8;17</t>
  </si>
  <si>
    <t>6;8;17;13</t>
  </si>
  <si>
    <t>6;8;17;13;15</t>
  </si>
  <si>
    <t>53;11</t>
  </si>
  <si>
    <t>53;11;102</t>
  </si>
  <si>
    <t>53;11;102;35</t>
  </si>
  <si>
    <t>53;11;102;35;50</t>
  </si>
  <si>
    <t>1;30</t>
  </si>
  <si>
    <t>1;30;68</t>
  </si>
  <si>
    <t>1;30;68;12</t>
  </si>
  <si>
    <t>1;30;68;12;20</t>
  </si>
  <si>
    <t>64;8</t>
  </si>
  <si>
    <t>64;8;10</t>
  </si>
  <si>
    <t>64;8;10;34</t>
  </si>
  <si>
    <t>64;8;10;34;19</t>
  </si>
  <si>
    <t>32;69</t>
  </si>
  <si>
    <t>32;69;70</t>
  </si>
  <si>
    <t>32;69;70;71</t>
  </si>
  <si>
    <t>32;69;70;71;18</t>
  </si>
  <si>
    <t>72;73</t>
  </si>
  <si>
    <t>72;73;74</t>
  </si>
  <si>
    <t>72;73;74;59</t>
  </si>
  <si>
    <t>72;73;74;59;58</t>
  </si>
  <si>
    <t>65;66</t>
  </si>
  <si>
    <t>65;66;67</t>
  </si>
  <si>
    <t>65;66;67;44</t>
  </si>
  <si>
    <t>65;66;67;44;50</t>
  </si>
  <si>
    <t>49;17</t>
  </si>
  <si>
    <t>49;17;37</t>
  </si>
  <si>
    <t>49;17;37;14</t>
  </si>
  <si>
    <t>49;17;37;14;52</t>
  </si>
  <si>
    <t>三昧真火</t>
  </si>
  <si>
    <t>白玉盂儿</t>
  </si>
  <si>
    <t>杨柳净瓶</t>
  </si>
  <si>
    <t>宝莲灯</t>
  </si>
  <si>
    <t>锦襕袈裟</t>
  </si>
  <si>
    <t>般若菠萝蜜</t>
  </si>
  <si>
    <t>zijinbo_qs_png</t>
    <phoneticPr fontId="3" type="noConversion"/>
  </si>
  <si>
    <t>tangseng_qs_png</t>
    <phoneticPr fontId="3" type="noConversion"/>
  </si>
  <si>
    <r>
      <t>zijinling</t>
    </r>
    <r>
      <rPr>
        <sz val="11"/>
        <color theme="1"/>
        <rFont val="宋体"/>
        <family val="3"/>
        <charset val="134"/>
        <scheme val="minor"/>
      </rPr>
      <t>_png</t>
    </r>
    <phoneticPr fontId="3" type="noConversion"/>
  </si>
  <si>
    <r>
      <t>yinyangerqiping</t>
    </r>
    <r>
      <rPr>
        <sz val="11"/>
        <color theme="1"/>
        <rFont val="宋体"/>
        <family val="3"/>
        <charset val="134"/>
        <scheme val="minor"/>
      </rPr>
      <t>_png</t>
    </r>
    <phoneticPr fontId="3" type="noConversion"/>
  </si>
  <si>
    <r>
      <t>jinnao</t>
    </r>
    <r>
      <rPr>
        <sz val="11"/>
        <color theme="1"/>
        <rFont val="宋体"/>
        <family val="3"/>
        <charset val="134"/>
        <scheme val="minor"/>
      </rPr>
      <t>_png</t>
    </r>
    <phoneticPr fontId="3" type="noConversion"/>
  </si>
  <si>
    <r>
      <t>jingangzhuo</t>
    </r>
    <r>
      <rPr>
        <sz val="11"/>
        <color theme="1"/>
        <rFont val="宋体"/>
        <family val="3"/>
        <charset val="134"/>
        <scheme val="minor"/>
      </rPr>
      <t>_png</t>
    </r>
    <phoneticPr fontId="3" type="noConversion"/>
  </si>
  <si>
    <r>
      <t>zijinhulu</t>
    </r>
    <r>
      <rPr>
        <sz val="11"/>
        <color theme="1"/>
        <rFont val="宋体"/>
        <family val="3"/>
        <charset val="134"/>
        <scheme val="minor"/>
      </rPr>
      <t>_png</t>
    </r>
    <phoneticPr fontId="3" type="noConversion"/>
  </si>
  <si>
    <r>
      <t>bajiaoshan</t>
    </r>
    <r>
      <rPr>
        <sz val="11"/>
        <color theme="1"/>
        <rFont val="宋体"/>
        <family val="3"/>
        <charset val="134"/>
        <scheme val="minor"/>
      </rPr>
      <t>_png</t>
    </r>
    <phoneticPr fontId="3" type="noConversion"/>
  </si>
  <si>
    <r>
      <t>huangjinsheng</t>
    </r>
    <r>
      <rPr>
        <sz val="11"/>
        <color theme="1"/>
        <rFont val="宋体"/>
        <family val="3"/>
        <charset val="134"/>
        <scheme val="minor"/>
      </rPr>
      <t>_png</t>
    </r>
    <phoneticPr fontId="3" type="noConversion"/>
  </si>
  <si>
    <r>
      <t>renzhongdai</t>
    </r>
    <r>
      <rPr>
        <sz val="11"/>
        <color theme="1"/>
        <rFont val="宋体"/>
        <family val="3"/>
        <charset val="134"/>
        <scheme val="minor"/>
      </rPr>
      <t>_png</t>
    </r>
    <phoneticPr fontId="3" type="noConversion"/>
  </si>
  <si>
    <r>
      <t>yangzhiyujingping</t>
    </r>
    <r>
      <rPr>
        <sz val="11"/>
        <color theme="1"/>
        <rFont val="宋体"/>
        <family val="3"/>
        <charset val="134"/>
        <scheme val="minor"/>
      </rPr>
      <t>_png</t>
    </r>
    <phoneticPr fontId="3" type="noConversion"/>
  </si>
  <si>
    <t>费用</t>
  </si>
  <si>
    <t>技能描述</t>
  </si>
  <si>
    <t>fee</t>
  </si>
  <si>
    <t>暴躁</t>
  </si>
  <si>
    <t>狂暴 发动反击</t>
  </si>
  <si>
    <t>重整 发动攻击</t>
  </si>
  <si>
    <t>回复</t>
  </si>
  <si>
    <t>重整 恢复下一个友军的生命</t>
  </si>
  <si>
    <t>鼓舞</t>
  </si>
  <si>
    <t>重整 恢复下一个友军的士气</t>
  </si>
  <si>
    <t>混乱</t>
  </si>
  <si>
    <t>得志 附加混乱</t>
  </si>
  <si>
    <t>乱舞</t>
  </si>
  <si>
    <t>混乱状态下发动的非理性攻击 - 系统内部调用</t>
  </si>
  <si>
    <t>施毒</t>
  </si>
  <si>
    <t>得志 附加中毒</t>
  </si>
  <si>
    <t>击晕</t>
  </si>
  <si>
    <t>得志 附加眩晕</t>
  </si>
  <si>
    <t>丧志</t>
  </si>
  <si>
    <t>得志 附加沮丧</t>
  </si>
  <si>
    <t>禁锢</t>
  </si>
  <si>
    <t>重整 随机一个敌军附加禁锢</t>
  </si>
  <si>
    <t>咆哮</t>
  </si>
  <si>
    <t>重整 强制敌方锁定攻击自己</t>
  </si>
  <si>
    <t>反射</t>
  </si>
  <si>
    <t>狂暴 反弹%d伤害</t>
  </si>
  <si>
    <t>神佑</t>
  </si>
  <si>
    <t>重整 随机三个友军附加神佑</t>
  </si>
  <si>
    <t>自爆</t>
  </si>
  <si>
    <t>死亡时对全体敌人造成伤害</t>
  </si>
  <si>
    <t>急救</t>
  </si>
  <si>
    <t>救助进入濒死状态的队友</t>
  </si>
  <si>
    <t>金刚</t>
  </si>
  <si>
    <t>重整 附加金刚</t>
  </si>
  <si>
    <t>分身</t>
  </si>
  <si>
    <t>重整 在随机空位生成自身的分身</t>
  </si>
  <si>
    <t>血咒</t>
  </si>
  <si>
    <t>得志 满血时有几率秒杀伤者</t>
  </si>
  <si>
    <t>嗜血</t>
  </si>
  <si>
    <t>得志 造成伤害时回复自己生命</t>
  </si>
  <si>
    <t>强化</t>
  </si>
  <si>
    <t>重整 提升一项随机属性</t>
  </si>
  <si>
    <t>尚武</t>
  </si>
  <si>
    <t>命中时提升攻击力</t>
  </si>
  <si>
    <t>顽抗</t>
  </si>
  <si>
    <t>受伤时提升攻击力</t>
  </si>
  <si>
    <t>昂扬</t>
  </si>
  <si>
    <t>满血时3倍伤害</t>
  </si>
  <si>
    <t>献祭</t>
  </si>
  <si>
    <t>杀死一名友军，提升自己攻防属性</t>
  </si>
  <si>
    <t>辟邪</t>
  </si>
  <si>
    <t>消除一名随机友军的负面效果</t>
  </si>
  <si>
    <t>筋斗云</t>
  </si>
  <si>
    <t>追击，消灭一个敌人时，再次发起攻击</t>
  </si>
  <si>
    <t>轮回</t>
  </si>
  <si>
    <t>救助一名阵亡队友</t>
  </si>
  <si>
    <t>火眼金睛</t>
  </si>
  <si>
    <t>打断敌方普通攻击，同时发起反击</t>
  </si>
  <si>
    <t>重整，全体吹飞，造成%d的木系伤害，附加晕眩</t>
  </si>
  <si>
    <t>求生</t>
  </si>
  <si>
    <t>濒死 向队友求救 - 系统内部调用</t>
  </si>
  <si>
    <t>霸体</t>
  </si>
  <si>
    <t>提升%d的自身攻击力</t>
  </si>
  <si>
    <t>战神图腾</t>
  </si>
  <si>
    <t>提升%d的全体攻击力</t>
  </si>
  <si>
    <t>对全体造成%d的火系伤害，附加燃烧</t>
  </si>
  <si>
    <t>洞察，免疫火系伤害</t>
  </si>
  <si>
    <t>对全体造成%d的水系伤害</t>
  </si>
  <si>
    <t>团结</t>
  </si>
  <si>
    <t>号召所有队友帮助分担伤害</t>
  </si>
  <si>
    <t>领悟</t>
  </si>
  <si>
    <t>降低法术费用</t>
  </si>
  <si>
    <t>感悟</t>
  </si>
  <si>
    <t>降低全局法术费用1点</t>
  </si>
  <si>
    <t>紧箍咒</t>
  </si>
  <si>
    <t>重整 说服一名敌方英雄叛逃至本阵营</t>
  </si>
  <si>
    <t>鬼斧神工</t>
  </si>
  <si>
    <t>偷师</t>
  </si>
  <si>
    <t>顿悟</t>
  </si>
  <si>
    <t>重整 随机学会任意一个法术</t>
  </si>
  <si>
    <t>圣盾</t>
  </si>
  <si>
    <t>回春 获得坚守</t>
  </si>
  <si>
    <t>三头六臂</t>
  </si>
  <si>
    <t>重整 风怒</t>
  </si>
  <si>
    <t>枪头喷出大量火焰，对一列敌人造成大量火属性伤害</t>
  </si>
  <si>
    <t>画地为牢</t>
  </si>
  <si>
    <t>战吼 光环 提升%d的生命峰值</t>
  </si>
  <si>
    <t>影分身</t>
  </si>
  <si>
    <t>重整 金刚 变幻出万千分身，对全体敌人造成%d的金系伤害</t>
  </si>
  <si>
    <t>救命毫毛</t>
  </si>
  <si>
    <t>进入濒死状态时自救</t>
  </si>
  <si>
    <t>蟠桃宴</t>
  </si>
  <si>
    <t>随机三名队友生命回复</t>
  </si>
  <si>
    <t>尸变</t>
  </si>
  <si>
    <t>沮丧</t>
  </si>
  <si>
    <t>降低全体敌军士气</t>
  </si>
  <si>
    <t>全体恢复</t>
  </si>
  <si>
    <t>恢复全体友军生命</t>
  </si>
  <si>
    <t>当头棒喝</t>
  </si>
  <si>
    <t>降低敌方全体攻击力</t>
  </si>
  <si>
    <t>破甲</t>
  </si>
  <si>
    <t>无视格挡和金刚</t>
  </si>
  <si>
    <t>奋起</t>
  </si>
  <si>
    <t>残血时3倍伤害</t>
  </si>
  <si>
    <t>回春</t>
  </si>
  <si>
    <t>恢复生命时提升攻击力</t>
  </si>
  <si>
    <t>不屈</t>
  </si>
  <si>
    <t>混天绫</t>
  </si>
  <si>
    <t>战吼 免疫所有负面魔法</t>
  </si>
  <si>
    <t>乾坤圈</t>
  </si>
  <si>
    <t>每次命中必然暴击</t>
  </si>
  <si>
    <t>风火轮</t>
  </si>
  <si>
    <t>提升闪避</t>
  </si>
  <si>
    <t>对全体敌方造成%d的土系伤害，附加中毒</t>
  </si>
  <si>
    <t>重整 将前排单个敌人收入瓶中，蔓藤缠绕后放出，造成%d的木系伤害。</t>
  </si>
  <si>
    <t>重整 攻击前排单一敌人，将其收入金铙中，造成%d的金系伤害后放出。</t>
  </si>
  <si>
    <t>重整 随机选择任何单一敌人呼唤其名字，对方不由自主答应，然后将其收到葫芦中、再自葫芦中放出、收归己方所有</t>
  </si>
  <si>
    <t>重整 捆绑后排单一敌人，放开后附加禁锢效果</t>
  </si>
  <si>
    <t>重整 将全体敌人装入袋中，造成大量土系伤害后放出</t>
  </si>
  <si>
    <t>重整 恢复全体友军%d的生命</t>
  </si>
  <si>
    <t>重整 消除全体友军所有负面效果</t>
  </si>
  <si>
    <t>锦镧袈裟</t>
  </si>
  <si>
    <t>重整 为己方一名随机英雄附加金刚</t>
  </si>
  <si>
    <t>九环锡杖</t>
  </si>
  <si>
    <t>重整 随机%d个队友附加神佑，持续%d回合</t>
  </si>
  <si>
    <t>般若波罗蜜</t>
  </si>
  <si>
    <t>重整 施法英雄随机学会一个新的技能</t>
  </si>
  <si>
    <t>召唤悟空</t>
  </si>
  <si>
    <t>召唤桃子</t>
  </si>
  <si>
    <t>召唤蟹将</t>
  </si>
  <si>
    <t>召唤童女</t>
  </si>
  <si>
    <t>召唤黑熊精</t>
  </si>
  <si>
    <t>召唤白骨精</t>
  </si>
  <si>
    <t>召唤奔波儿灞</t>
  </si>
  <si>
    <t>召唤哪吒</t>
  </si>
  <si>
    <t>召唤紫金钵</t>
  </si>
  <si>
    <t>召唤东土圣僧</t>
  </si>
  <si>
    <t>亡语：召唤哪吒</t>
  </si>
  <si>
    <t>亡语：附加芭蕉扇技能</t>
    <phoneticPr fontId="3" type="noConversion"/>
  </si>
  <si>
    <t>狂暴 偷学攻击者的一个法术</t>
    <phoneticPr fontId="3" type="noConversion"/>
  </si>
  <si>
    <t>卡牌技能</t>
    <phoneticPr fontId="3" type="noConversion"/>
  </si>
  <si>
    <t>描述</t>
    <phoneticPr fontId="3" type="noConversion"/>
  </si>
  <si>
    <t>desc</t>
    <phoneticPr fontId="3" type="noConversion"/>
  </si>
  <si>
    <t>全身图片资源</t>
    <phoneticPr fontId="3" type="noConversion"/>
  </si>
  <si>
    <t>QSRes</t>
    <phoneticPr fontId="3" type="noConversion"/>
  </si>
  <si>
    <t>shenmo_kapai_taozi_png</t>
    <phoneticPr fontId="3" type="noConversion"/>
  </si>
  <si>
    <t>头部头像</t>
    <phoneticPr fontId="3" type="noConversion"/>
  </si>
  <si>
    <t>headRes</t>
    <phoneticPr fontId="3" type="noConversion"/>
  </si>
  <si>
    <t>shenmo_tou_taozi_png</t>
    <phoneticPr fontId="3" type="noConversion"/>
  </si>
  <si>
    <r>
      <t>shenmo_kapai_</t>
    </r>
    <r>
      <rPr>
        <sz val="11"/>
        <color theme="1"/>
        <rFont val="宋体"/>
        <family val="3"/>
        <charset val="134"/>
        <scheme val="minor"/>
      </rPr>
      <t>xiejiang_png</t>
    </r>
    <phoneticPr fontId="3" type="noConversion"/>
  </si>
  <si>
    <r>
      <t>shenmo_tou_</t>
    </r>
    <r>
      <rPr>
        <sz val="11"/>
        <color theme="1"/>
        <rFont val="宋体"/>
        <family val="3"/>
        <charset val="134"/>
        <scheme val="minor"/>
      </rPr>
      <t>xiejiang_png</t>
    </r>
    <phoneticPr fontId="3" type="noConversion"/>
  </si>
  <si>
    <r>
      <t>shenmo_kapai_</t>
    </r>
    <r>
      <rPr>
        <sz val="11"/>
        <color theme="1"/>
        <rFont val="宋体"/>
        <family val="3"/>
        <charset val="134"/>
        <scheme val="minor"/>
      </rPr>
      <t>heixiong_png</t>
    </r>
    <phoneticPr fontId="3" type="noConversion"/>
  </si>
  <si>
    <r>
      <t>shenmo_tou_</t>
    </r>
    <r>
      <rPr>
        <sz val="11"/>
        <color theme="1"/>
        <rFont val="宋体"/>
        <family val="3"/>
        <charset val="134"/>
        <scheme val="minor"/>
      </rPr>
      <t>heixiong_png</t>
    </r>
    <phoneticPr fontId="3" type="noConversion"/>
  </si>
  <si>
    <t>shenmo_kapai_tongnv_png</t>
    <phoneticPr fontId="3" type="noConversion"/>
  </si>
  <si>
    <t>shenmo_tou_tongnv_png</t>
    <phoneticPr fontId="3" type="noConversion"/>
  </si>
  <si>
    <t>shenmo_kapai_baigu_png</t>
    <phoneticPr fontId="3" type="noConversion"/>
  </si>
  <si>
    <t>shenmo_tou_baigu_png</t>
    <phoneticPr fontId="3" type="noConversion"/>
  </si>
  <si>
    <t>shenmo_kapai_benboerba_png</t>
    <phoneticPr fontId="3" type="noConversion"/>
  </si>
  <si>
    <t>shenmo_tou_benboerba_png</t>
    <phoneticPr fontId="3" type="noConversion"/>
  </si>
  <si>
    <r>
      <t>shenmo_kapai_</t>
    </r>
    <r>
      <rPr>
        <sz val="11"/>
        <color theme="1"/>
        <rFont val="宋体"/>
        <family val="3"/>
        <charset val="134"/>
        <scheme val="minor"/>
      </rPr>
      <t>nazha_png</t>
    </r>
    <phoneticPr fontId="3" type="noConversion"/>
  </si>
  <si>
    <r>
      <t>shenmo_tou_</t>
    </r>
    <r>
      <rPr>
        <sz val="11"/>
        <color theme="1"/>
        <rFont val="宋体"/>
        <family val="3"/>
        <charset val="134"/>
        <scheme val="minor"/>
      </rPr>
      <t>nazha_png</t>
    </r>
    <phoneticPr fontId="3" type="noConversion"/>
  </si>
  <si>
    <t>名字图片</t>
    <phoneticPr fontId="3" type="noConversion"/>
  </si>
  <si>
    <t>nameRes</t>
    <phoneticPr fontId="3" type="noConversion"/>
  </si>
  <si>
    <t>shenmo_wz_taozi_png</t>
    <phoneticPr fontId="3" type="noConversion"/>
  </si>
  <si>
    <t>shenmo_wz_xiejiang_png</t>
    <phoneticPr fontId="3" type="noConversion"/>
  </si>
  <si>
    <t>shenmo_wz_tongnv_png</t>
    <phoneticPr fontId="3" type="noConversion"/>
  </si>
  <si>
    <t>shenmo_wz_heixiong_png</t>
    <phoneticPr fontId="3" type="noConversion"/>
  </si>
  <si>
    <t>shenmo_wz_baigu_png</t>
    <phoneticPr fontId="3" type="noConversion"/>
  </si>
  <si>
    <t>shenmo_wz_benboerba_png</t>
    <phoneticPr fontId="3" type="noConversion"/>
  </si>
  <si>
    <t>shenmo_wz_nazha_png</t>
    <phoneticPr fontId="3" type="noConversion"/>
  </si>
  <si>
    <t>chongwu_wz_zijinbo_png</t>
    <phoneticPr fontId="3" type="noConversion"/>
  </si>
  <si>
    <t>chongwu_wz_tangseng_png</t>
    <phoneticPr fontId="3" type="noConversion"/>
  </si>
  <si>
    <t>fabao_wz_zjl_png</t>
    <phoneticPr fontId="3" type="noConversion"/>
  </si>
  <si>
    <t>fabao_wz_yyeqp_png</t>
    <phoneticPr fontId="3" type="noConversion"/>
  </si>
  <si>
    <t>fabao_wz_jn_png</t>
    <phoneticPr fontId="3" type="noConversion"/>
  </si>
  <si>
    <t>fabao_wz_jgz_png</t>
    <phoneticPr fontId="3" type="noConversion"/>
  </si>
  <si>
    <t>fabao_wz_zjhhl_png</t>
    <phoneticPr fontId="3" type="noConversion"/>
  </si>
  <si>
    <t>fabao_wz_bjs_png</t>
    <phoneticPr fontId="3" type="noConversion"/>
  </si>
  <si>
    <t>fabao_wz_hjs_png</t>
    <phoneticPr fontId="3" type="noConversion"/>
  </si>
  <si>
    <t>fabao_wz_rzd_png</t>
    <phoneticPr fontId="3" type="noConversion"/>
  </si>
  <si>
    <t>fabao_wz_wcxy_png</t>
    <phoneticPr fontId="3" type="noConversion"/>
  </si>
  <si>
    <t>wucaixiayi_png</t>
    <phoneticPr fontId="3" type="noConversion"/>
  </si>
  <si>
    <t>fabao_wz_yzyjp_png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</si>
</sst>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9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1" fillId="0" borderId="0" xfId="0" applyFont="1" applyFill="1" applyAlignment="1"/>
    <xf numFmtId="0" fontId="0" fillId="0" borderId="0" xfId="0" applyFill="1" applyAlignment="1"/>
    <xf numFmtId="0" fontId="2" fillId="0" borderId="0" xfId="1">
      <alignment vertical="center"/>
    </xf>
    <xf numFmtId="0" fontId="5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0" fontId="6" fillId="0" borderId="0" xfId="0" applyFont="1" applyAlignment="1"/>
    <xf numFmtId="0" fontId="7" fillId="0" borderId="0" xfId="0" applyFont="1" applyAlignment="1"/>
    <xf numFmtId="0" fontId="8" fillId="0" borderId="0" xfId="0" applyFont="1" applyAlignment="1"/>
    <xf numFmtId="0" fontId="6" fillId="0" borderId="0" xfId="0" applyFont="1" applyAlignment="1">
      <alignment wrapText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0</xdr:row>
      <xdr:rowOff>76200</xdr:rowOff>
    </xdr:from>
    <xdr:to>
      <xdr:col>1</xdr:col>
      <xdr:colOff>733425</xdr:colOff>
      <xdr:row>2</xdr:row>
      <xdr:rowOff>85725</xdr:rowOff>
    </xdr:to>
    <xdr:sp macro="[0]!wps宏测试" textlink="">
      <xdr:nvSpPr>
        <xdr:cNvPr id="2" name="椭圆 1"/>
        <xdr:cNvSpPr/>
      </xdr:nvSpPr>
      <xdr:spPr>
        <a:xfrm>
          <a:off x="781050" y="76200"/>
          <a:ext cx="1447800" cy="352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9"/>
  <sheetViews>
    <sheetView workbookViewId="0">
      <selection activeCell="A15" sqref="A15"/>
    </sheetView>
  </sheetViews>
  <sheetFormatPr defaultColWidth="9" defaultRowHeight="13.5" x14ac:dyDescent="0.15"/>
  <cols>
    <col min="1" max="1" width="19.625" customWidth="1"/>
    <col min="2" max="3" width="16.625" customWidth="1"/>
  </cols>
  <sheetData>
    <row r="4" spans="1:4" x14ac:dyDescent="0.15">
      <c r="A4" t="s">
        <v>0</v>
      </c>
      <c r="B4" s="6" t="s">
        <v>1</v>
      </c>
      <c r="C4" s="6"/>
    </row>
    <row r="6" spans="1:4" x14ac:dyDescent="0.15">
      <c r="A6" s="7" t="s">
        <v>2</v>
      </c>
      <c r="B6" s="7" t="s">
        <v>3</v>
      </c>
      <c r="C6" s="7"/>
      <c r="D6" t="s">
        <v>4</v>
      </c>
    </row>
    <row r="7" spans="1:4" x14ac:dyDescent="0.15">
      <c r="A7" s="8" t="s">
        <v>692</v>
      </c>
    </row>
    <row r="8" spans="1:4" x14ac:dyDescent="0.15">
      <c r="A8" s="8" t="s">
        <v>693</v>
      </c>
    </row>
    <row r="9" spans="1:4" x14ac:dyDescent="0.15">
      <c r="A9" s="8" t="s">
        <v>694</v>
      </c>
    </row>
    <row r="10" spans="1:4" x14ac:dyDescent="0.15">
      <c r="A10" s="8" t="s">
        <v>695</v>
      </c>
    </row>
    <row r="11" spans="1:4" x14ac:dyDescent="0.15">
      <c r="A11" s="8" t="s">
        <v>697</v>
      </c>
    </row>
    <row r="12" spans="1:4" x14ac:dyDescent="0.15">
      <c r="A12" s="8" t="s">
        <v>696</v>
      </c>
    </row>
    <row r="13" spans="1:4" x14ac:dyDescent="0.15">
      <c r="A13" s="8" t="s">
        <v>698</v>
      </c>
    </row>
    <row r="14" spans="1:4" x14ac:dyDescent="0.15">
      <c r="A14" s="8" t="s">
        <v>699</v>
      </c>
    </row>
    <row r="15" spans="1:4" x14ac:dyDescent="0.15">
      <c r="A15" s="8" t="s">
        <v>1007</v>
      </c>
    </row>
    <row r="16" spans="1:4" x14ac:dyDescent="0.15">
      <c r="A16" s="8" t="s">
        <v>700</v>
      </c>
    </row>
    <row r="17" spans="1:1" x14ac:dyDescent="0.15">
      <c r="A17" s="8" t="s">
        <v>701</v>
      </c>
    </row>
    <row r="18" spans="1:1" x14ac:dyDescent="0.15">
      <c r="A18" s="8" t="s">
        <v>702</v>
      </c>
    </row>
    <row r="19" spans="1:1" ht="15" customHeight="1" x14ac:dyDescent="0.15">
      <c r="A19" s="8" t="s">
        <v>759</v>
      </c>
    </row>
  </sheetData>
  <phoneticPr fontId="3" type="noConversion"/>
  <hyperlinks>
    <hyperlink ref="A7" location="m_activeSkillscfg!A1" display="主动技能"/>
    <hyperlink ref="A8" location="m_amuletcfg!A1" display="符咒"/>
    <hyperlink ref="A9" location="m_bosscfg!A1" display="boss"/>
    <hyperlink ref="A10" location="m_talismancfg!A1" display="法宝"/>
    <hyperlink ref="A11" location="m_talismanSkillscfg!A1" display="法宝技能"/>
    <hyperlink ref="A12" location="m_goodscfg!A1" display="商品"/>
    <hyperlink ref="A13" location="m_dailyTaskcfg!A1" display="每日任务？成就？"/>
    <hyperlink ref="A14" location="m_monstercfg!A1" display="怪物"/>
    <hyperlink ref="A16" location="m_cardcfg!A1" display="卡牌"/>
    <hyperlink ref="A17" location="m_petcfg!A1" display="宠物"/>
    <hyperlink ref="A18" location="m_rewardTypecfg!A1" display="奖励类型"/>
    <hyperlink ref="A19" location="m_petGeniuscfg!A1" display="宠物天赋"/>
    <hyperlink ref="A15" location="m_cardSkill!A1" display="卡牌技能"/>
  </hyperlinks>
  <pageMargins left="0.75" right="0.75" top="1" bottom="1" header="0.51180555555555596" footer="0.51180555555555596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C15" sqref="C15"/>
    </sheetView>
  </sheetViews>
  <sheetFormatPr defaultColWidth="9" defaultRowHeight="13.5" x14ac:dyDescent="0.15"/>
  <cols>
    <col min="1" max="1" width="9" style="2"/>
    <col min="2" max="2" width="12" style="2" customWidth="1"/>
    <col min="3" max="3" width="29.25" style="2" customWidth="1"/>
    <col min="4" max="4" width="11.125" style="2" customWidth="1"/>
    <col min="5" max="5" width="10.5" style="2" customWidth="1"/>
    <col min="6" max="6" width="12.625" style="2" customWidth="1"/>
    <col min="7" max="7" width="11.25" style="2" customWidth="1"/>
    <col min="8" max="8" width="20" style="2" customWidth="1"/>
    <col min="9" max="16384" width="9" style="2"/>
  </cols>
  <sheetData>
    <row r="1" spans="1:8" x14ac:dyDescent="0.15">
      <c r="A1" s="2" t="s">
        <v>5</v>
      </c>
      <c r="B1" s="2" t="s">
        <v>6</v>
      </c>
      <c r="C1" s="9" t="s">
        <v>628</v>
      </c>
      <c r="D1" s="2" t="s">
        <v>570</v>
      </c>
      <c r="E1" s="2" t="s">
        <v>566</v>
      </c>
      <c r="F1" s="2" t="s">
        <v>569</v>
      </c>
      <c r="G1" s="2" t="s">
        <v>567</v>
      </c>
      <c r="H1" s="2" t="s">
        <v>7</v>
      </c>
    </row>
    <row r="2" spans="1:8" x14ac:dyDescent="0.15">
      <c r="A2" s="2" t="s">
        <v>8</v>
      </c>
      <c r="B2" s="2" t="s">
        <v>9</v>
      </c>
      <c r="C2" s="9" t="s">
        <v>618</v>
      </c>
      <c r="D2" s="9" t="s">
        <v>616</v>
      </c>
      <c r="E2" s="9" t="s">
        <v>623</v>
      </c>
      <c r="F2" s="2" t="s">
        <v>568</v>
      </c>
      <c r="G2" s="9" t="s">
        <v>617</v>
      </c>
      <c r="H2" s="2" t="s">
        <v>10</v>
      </c>
    </row>
    <row r="3" spans="1:8" x14ac:dyDescent="0.15">
      <c r="A3" s="2">
        <v>1</v>
      </c>
      <c r="B3" s="2" t="s">
        <v>11</v>
      </c>
      <c r="C3" s="9" t="s">
        <v>610</v>
      </c>
      <c r="D3" s="3" t="s">
        <v>12</v>
      </c>
      <c r="E3" s="2">
        <v>1</v>
      </c>
      <c r="F3" s="2">
        <v>30</v>
      </c>
      <c r="G3" s="2">
        <v>600</v>
      </c>
      <c r="H3" s="2" t="s">
        <v>13</v>
      </c>
    </row>
    <row r="4" spans="1:8" x14ac:dyDescent="0.15">
      <c r="A4" s="2">
        <v>2</v>
      </c>
      <c r="B4" s="2" t="s">
        <v>14</v>
      </c>
      <c r="C4" s="9" t="s">
        <v>611</v>
      </c>
      <c r="D4" s="3" t="s">
        <v>15</v>
      </c>
      <c r="E4" s="2">
        <v>1</v>
      </c>
      <c r="F4" s="2">
        <v>36</v>
      </c>
      <c r="G4" s="2">
        <v>600</v>
      </c>
      <c r="H4" s="2" t="s">
        <v>16</v>
      </c>
    </row>
    <row r="5" spans="1:8" x14ac:dyDescent="0.15">
      <c r="A5" s="2">
        <v>3</v>
      </c>
      <c r="B5" s="2" t="s">
        <v>17</v>
      </c>
      <c r="C5" s="9" t="s">
        <v>612</v>
      </c>
      <c r="D5" s="10" t="s">
        <v>705</v>
      </c>
      <c r="E5" s="2">
        <v>1</v>
      </c>
      <c r="F5" s="2">
        <v>30</v>
      </c>
      <c r="G5" s="2">
        <v>1800</v>
      </c>
      <c r="H5" s="2" t="s">
        <v>18</v>
      </c>
    </row>
    <row r="6" spans="1:8" x14ac:dyDescent="0.15">
      <c r="A6" s="2">
        <v>4</v>
      </c>
      <c r="B6" s="2" t="s">
        <v>19</v>
      </c>
      <c r="C6" s="9" t="s">
        <v>613</v>
      </c>
      <c r="D6" s="10" t="s">
        <v>706</v>
      </c>
      <c r="E6" s="2">
        <v>1</v>
      </c>
      <c r="F6" s="2">
        <v>30</v>
      </c>
      <c r="G6" s="2">
        <v>1800</v>
      </c>
      <c r="H6" s="2" t="s">
        <v>20</v>
      </c>
    </row>
    <row r="7" spans="1:8" x14ac:dyDescent="0.15">
      <c r="A7" s="2">
        <v>5</v>
      </c>
      <c r="B7" s="2" t="s">
        <v>21</v>
      </c>
      <c r="C7" s="9" t="s">
        <v>614</v>
      </c>
      <c r="D7" s="3" t="s">
        <v>22</v>
      </c>
      <c r="E7" s="2">
        <v>1</v>
      </c>
      <c r="F7" s="2">
        <v>30</v>
      </c>
      <c r="G7" s="2">
        <v>3600</v>
      </c>
      <c r="H7" s="2" t="s">
        <v>23</v>
      </c>
    </row>
    <row r="8" spans="1:8" x14ac:dyDescent="0.15">
      <c r="A8" s="2">
        <v>6</v>
      </c>
      <c r="B8" s="2" t="s">
        <v>24</v>
      </c>
      <c r="C8" s="9" t="s">
        <v>615</v>
      </c>
      <c r="D8" s="3" t="s">
        <v>25</v>
      </c>
      <c r="E8" s="2">
        <v>1</v>
      </c>
      <c r="F8" s="2">
        <v>30</v>
      </c>
      <c r="G8" s="2">
        <v>3600</v>
      </c>
      <c r="H8" s="2" t="s">
        <v>26</v>
      </c>
    </row>
    <row r="13" spans="1:8" x14ac:dyDescent="0.15">
      <c r="D13" s="5"/>
    </row>
    <row r="14" spans="1:8" x14ac:dyDescent="0.15">
      <c r="D14" s="5"/>
    </row>
    <row r="15" spans="1:8" x14ac:dyDescent="0.15">
      <c r="D15" s="5"/>
    </row>
    <row r="16" spans="1:8" x14ac:dyDescent="0.15">
      <c r="D16" s="5"/>
    </row>
    <row r="17" spans="4:4" x14ac:dyDescent="0.15">
      <c r="D17" s="5"/>
    </row>
    <row r="18" spans="4:4" x14ac:dyDescent="0.15">
      <c r="D18" s="5"/>
    </row>
    <row r="19" spans="4:4" x14ac:dyDescent="0.15">
      <c r="D19" s="5"/>
    </row>
    <row r="20" spans="4:4" x14ac:dyDescent="0.15">
      <c r="D20" s="3"/>
    </row>
    <row r="21" spans="4:4" x14ac:dyDescent="0.15">
      <c r="D21" s="3"/>
    </row>
    <row r="22" spans="4:4" x14ac:dyDescent="0.15">
      <c r="D22" s="3"/>
    </row>
    <row r="23" spans="4:4" x14ac:dyDescent="0.15">
      <c r="D23" s="3"/>
    </row>
    <row r="24" spans="4:4" x14ac:dyDescent="0.15">
      <c r="D24" s="3"/>
    </row>
    <row r="25" spans="4:4" x14ac:dyDescent="0.15">
      <c r="D25" s="3"/>
    </row>
    <row r="26" spans="4:4" x14ac:dyDescent="0.15">
      <c r="D26" s="3"/>
    </row>
    <row r="27" spans="4:4" x14ac:dyDescent="0.15">
      <c r="D27" s="3"/>
    </row>
    <row r="28" spans="4:4" x14ac:dyDescent="0.15">
      <c r="D28" s="3"/>
    </row>
    <row r="29" spans="4:4" x14ac:dyDescent="0.15">
      <c r="D29" s="3"/>
    </row>
    <row r="30" spans="4:4" x14ac:dyDescent="0.15">
      <c r="D30" s="3"/>
    </row>
  </sheetData>
  <phoneticPr fontId="3" type="noConversion"/>
  <pageMargins left="0.75" right="0.75" top="1" bottom="1" header="0.51180555555555596" footer="0.51180555555555596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1"/>
  <sheetViews>
    <sheetView workbookViewId="0">
      <selection activeCell="C1" sqref="C1"/>
    </sheetView>
  </sheetViews>
  <sheetFormatPr defaultColWidth="9" defaultRowHeight="13.5" x14ac:dyDescent="0.15"/>
  <cols>
    <col min="1" max="1" width="9" style="2"/>
    <col min="2" max="2" width="12.125" style="2" customWidth="1"/>
    <col min="3" max="3" width="13.125" style="2" customWidth="1"/>
    <col min="4" max="4" width="25" style="2" customWidth="1"/>
    <col min="5" max="5" width="24.875" style="2" customWidth="1"/>
    <col min="6" max="6" width="21" style="2" customWidth="1"/>
    <col min="7" max="7" width="40" style="2" customWidth="1"/>
    <col min="8" max="16384" width="9" style="2"/>
  </cols>
  <sheetData>
    <row r="1" spans="1:7" x14ac:dyDescent="0.15">
      <c r="A1" s="2" t="s">
        <v>571</v>
      </c>
      <c r="B1" s="2" t="s">
        <v>6</v>
      </c>
      <c r="C1" s="9" t="s">
        <v>629</v>
      </c>
      <c r="D1" s="2" t="s">
        <v>572</v>
      </c>
      <c r="E1" s="2" t="s">
        <v>573</v>
      </c>
      <c r="F1" s="2" t="s">
        <v>574</v>
      </c>
      <c r="G1" s="2" t="s">
        <v>3</v>
      </c>
    </row>
    <row r="2" spans="1:7" x14ac:dyDescent="0.15">
      <c r="A2" s="2" t="s">
        <v>576</v>
      </c>
      <c r="B2" s="9" t="s">
        <v>577</v>
      </c>
      <c r="C2" s="9" t="s">
        <v>621</v>
      </c>
      <c r="D2" s="9" t="s">
        <v>619</v>
      </c>
      <c r="E2" s="9" t="s">
        <v>622</v>
      </c>
      <c r="F2" s="9" t="s">
        <v>625</v>
      </c>
      <c r="G2" s="9" t="s">
        <v>624</v>
      </c>
    </row>
    <row r="3" spans="1:7" x14ac:dyDescent="0.15">
      <c r="A3" s="2">
        <v>1</v>
      </c>
      <c r="B3" s="2" t="s">
        <v>27</v>
      </c>
      <c r="C3" s="9" t="s">
        <v>578</v>
      </c>
      <c r="D3" s="9" t="s">
        <v>620</v>
      </c>
      <c r="E3" s="10" t="s">
        <v>579</v>
      </c>
      <c r="F3" s="2">
        <v>0</v>
      </c>
      <c r="G3" s="2" t="s">
        <v>28</v>
      </c>
    </row>
    <row r="4" spans="1:7" x14ac:dyDescent="0.15">
      <c r="A4" s="2">
        <v>2</v>
      </c>
      <c r="B4" s="2" t="s">
        <v>29</v>
      </c>
      <c r="C4" s="2" t="s">
        <v>30</v>
      </c>
      <c r="D4" s="2" t="s">
        <v>31</v>
      </c>
      <c r="E4" s="10" t="s">
        <v>580</v>
      </c>
      <c r="F4" s="2">
        <v>0</v>
      </c>
      <c r="G4" s="2" t="s">
        <v>32</v>
      </c>
    </row>
    <row r="5" spans="1:7" x14ac:dyDescent="0.15">
      <c r="A5" s="2">
        <v>3</v>
      </c>
      <c r="B5" s="2" t="s">
        <v>33</v>
      </c>
      <c r="C5" s="2" t="s">
        <v>34</v>
      </c>
      <c r="D5" s="2" t="s">
        <v>35</v>
      </c>
      <c r="E5" s="10" t="s">
        <v>581</v>
      </c>
      <c r="F5" s="2">
        <v>0</v>
      </c>
      <c r="G5" s="2" t="s">
        <v>36</v>
      </c>
    </row>
    <row r="6" spans="1:7" x14ac:dyDescent="0.15">
      <c r="A6" s="2">
        <v>4</v>
      </c>
      <c r="B6" s="2" t="s">
        <v>37</v>
      </c>
      <c r="C6" s="2" t="s">
        <v>38</v>
      </c>
      <c r="D6" s="2" t="s">
        <v>39</v>
      </c>
      <c r="E6" s="10" t="s">
        <v>582</v>
      </c>
      <c r="F6" s="2">
        <v>0</v>
      </c>
      <c r="G6" s="2" t="s">
        <v>40</v>
      </c>
    </row>
    <row r="7" spans="1:7" x14ac:dyDescent="0.15">
      <c r="A7" s="2">
        <v>5</v>
      </c>
      <c r="B7" s="2" t="s">
        <v>41</v>
      </c>
      <c r="C7" s="2" t="s">
        <v>42</v>
      </c>
      <c r="D7" s="2" t="s">
        <v>43</v>
      </c>
      <c r="E7" s="10" t="s">
        <v>583</v>
      </c>
      <c r="F7" s="2">
        <v>0</v>
      </c>
      <c r="G7" s="2" t="s">
        <v>44</v>
      </c>
    </row>
    <row r="8" spans="1:7" x14ac:dyDescent="0.15">
      <c r="A8" s="2">
        <v>6</v>
      </c>
      <c r="B8" s="2" t="s">
        <v>45</v>
      </c>
      <c r="C8" s="2" t="s">
        <v>46</v>
      </c>
      <c r="D8" s="2" t="s">
        <v>47</v>
      </c>
      <c r="E8" s="10" t="s">
        <v>584</v>
      </c>
      <c r="F8" s="2">
        <v>25</v>
      </c>
      <c r="G8" s="2" t="s">
        <v>48</v>
      </c>
    </row>
    <row r="9" spans="1:7" x14ac:dyDescent="0.15">
      <c r="A9" s="2">
        <v>7</v>
      </c>
      <c r="B9" s="2" t="s">
        <v>49</v>
      </c>
      <c r="C9" s="2" t="s">
        <v>50</v>
      </c>
      <c r="D9" s="2" t="s">
        <v>51</v>
      </c>
      <c r="E9" s="10" t="s">
        <v>585</v>
      </c>
      <c r="F9" s="2">
        <v>30</v>
      </c>
      <c r="G9" s="2" t="s">
        <v>52</v>
      </c>
    </row>
    <row r="10" spans="1:7" x14ac:dyDescent="0.15">
      <c r="A10" s="2">
        <v>8</v>
      </c>
      <c r="B10" s="2" t="s">
        <v>53</v>
      </c>
      <c r="C10" s="2" t="s">
        <v>54</v>
      </c>
      <c r="D10" s="2" t="s">
        <v>55</v>
      </c>
      <c r="E10" s="10" t="s">
        <v>586</v>
      </c>
      <c r="F10" s="2">
        <v>10</v>
      </c>
      <c r="G10" s="2" t="s">
        <v>56</v>
      </c>
    </row>
    <row r="11" spans="1:7" x14ac:dyDescent="0.15">
      <c r="A11" s="2">
        <v>9</v>
      </c>
      <c r="B11" s="2" t="s">
        <v>57</v>
      </c>
      <c r="C11" s="2" t="s">
        <v>58</v>
      </c>
      <c r="D11" s="2" t="s">
        <v>59</v>
      </c>
      <c r="E11" s="10" t="s">
        <v>587</v>
      </c>
      <c r="F11" s="2">
        <v>20</v>
      </c>
      <c r="G11" s="2" t="s">
        <v>60</v>
      </c>
    </row>
    <row r="12" spans="1:7" x14ac:dyDescent="0.15">
      <c r="A12" s="2">
        <v>10</v>
      </c>
      <c r="B12" s="2" t="s">
        <v>61</v>
      </c>
      <c r="C12" s="2" t="s">
        <v>62</v>
      </c>
      <c r="D12" s="2" t="s">
        <v>63</v>
      </c>
      <c r="E12" s="10" t="s">
        <v>588</v>
      </c>
      <c r="F12" s="2">
        <v>25</v>
      </c>
      <c r="G12" s="2" t="s">
        <v>64</v>
      </c>
    </row>
    <row r="13" spans="1:7" x14ac:dyDescent="0.15">
      <c r="A13" s="2">
        <v>11</v>
      </c>
      <c r="B13" s="2" t="s">
        <v>65</v>
      </c>
      <c r="C13" s="2" t="s">
        <v>66</v>
      </c>
      <c r="D13" s="2" t="s">
        <v>67</v>
      </c>
      <c r="E13" s="10" t="s">
        <v>589</v>
      </c>
      <c r="F13" s="2">
        <v>25</v>
      </c>
      <c r="G13" s="2" t="s">
        <v>68</v>
      </c>
    </row>
    <row r="14" spans="1:7" x14ac:dyDescent="0.15">
      <c r="A14" s="2">
        <v>12</v>
      </c>
      <c r="B14" s="2" t="s">
        <v>69</v>
      </c>
      <c r="C14" s="2" t="s">
        <v>70</v>
      </c>
      <c r="D14" s="2" t="s">
        <v>71</v>
      </c>
      <c r="E14" s="10" t="s">
        <v>590</v>
      </c>
      <c r="F14" s="2">
        <v>25</v>
      </c>
      <c r="G14" s="2" t="s">
        <v>72</v>
      </c>
    </row>
    <row r="15" spans="1:7" x14ac:dyDescent="0.15">
      <c r="A15" s="2">
        <v>13</v>
      </c>
      <c r="B15" s="2" t="s">
        <v>73</v>
      </c>
      <c r="C15" s="2" t="s">
        <v>74</v>
      </c>
      <c r="D15" s="2" t="s">
        <v>75</v>
      </c>
      <c r="E15" s="10" t="s">
        <v>591</v>
      </c>
      <c r="F15" s="2">
        <v>50</v>
      </c>
      <c r="G15" s="2" t="s">
        <v>76</v>
      </c>
    </row>
    <row r="16" spans="1:7" x14ac:dyDescent="0.15">
      <c r="A16" s="2">
        <v>14</v>
      </c>
      <c r="B16" s="2" t="s">
        <v>77</v>
      </c>
      <c r="C16" s="2" t="s">
        <v>78</v>
      </c>
      <c r="D16" s="2" t="s">
        <v>79</v>
      </c>
      <c r="E16" s="10" t="s">
        <v>592</v>
      </c>
      <c r="F16" s="2">
        <v>30</v>
      </c>
      <c r="G16" s="2" t="s">
        <v>80</v>
      </c>
    </row>
    <row r="17" spans="1:7" x14ac:dyDescent="0.15">
      <c r="A17" s="2">
        <v>15</v>
      </c>
      <c r="B17" s="2" t="s">
        <v>81</v>
      </c>
      <c r="C17" s="2" t="s">
        <v>82</v>
      </c>
      <c r="D17" s="2" t="s">
        <v>83</v>
      </c>
      <c r="E17" s="10" t="s">
        <v>593</v>
      </c>
      <c r="F17" s="2">
        <v>30</v>
      </c>
      <c r="G17" s="2" t="s">
        <v>84</v>
      </c>
    </row>
    <row r="18" spans="1:7" x14ac:dyDescent="0.15">
      <c r="A18" s="2">
        <v>16</v>
      </c>
      <c r="B18" s="2" t="s">
        <v>85</v>
      </c>
      <c r="C18" s="2" t="s">
        <v>86</v>
      </c>
      <c r="D18" s="2" t="s">
        <v>87</v>
      </c>
      <c r="E18" s="10" t="s">
        <v>594</v>
      </c>
      <c r="F18" s="2">
        <v>50</v>
      </c>
      <c r="G18" s="2" t="s">
        <v>88</v>
      </c>
    </row>
    <row r="19" spans="1:7" x14ac:dyDescent="0.15">
      <c r="A19" s="2">
        <v>17</v>
      </c>
      <c r="B19" s="2" t="s">
        <v>89</v>
      </c>
      <c r="C19" s="2" t="s">
        <v>90</v>
      </c>
      <c r="D19" s="2" t="s">
        <v>91</v>
      </c>
      <c r="E19" s="10" t="s">
        <v>595</v>
      </c>
      <c r="F19" s="2">
        <v>50</v>
      </c>
      <c r="G19" s="2" t="s">
        <v>92</v>
      </c>
    </row>
    <row r="20" spans="1:7" x14ac:dyDescent="0.15">
      <c r="A20" s="2">
        <v>18</v>
      </c>
      <c r="B20" s="2" t="s">
        <v>93</v>
      </c>
      <c r="C20" s="2" t="s">
        <v>94</v>
      </c>
      <c r="D20" s="2" t="s">
        <v>95</v>
      </c>
      <c r="E20" s="10" t="s">
        <v>596</v>
      </c>
      <c r="F20" s="2">
        <v>30</v>
      </c>
      <c r="G20" s="2" t="s">
        <v>96</v>
      </c>
    </row>
    <row r="21" spans="1:7" x14ac:dyDescent="0.15">
      <c r="A21" s="2">
        <v>19</v>
      </c>
      <c r="B21" s="2" t="s">
        <v>97</v>
      </c>
      <c r="C21" s="2" t="s">
        <v>98</v>
      </c>
      <c r="D21" s="2" t="s">
        <v>99</v>
      </c>
      <c r="E21" s="10" t="s">
        <v>597</v>
      </c>
      <c r="F21" s="2">
        <v>100</v>
      </c>
      <c r="G21" s="2" t="s">
        <v>100</v>
      </c>
    </row>
    <row r="22" spans="1:7" x14ac:dyDescent="0.15">
      <c r="A22" s="2">
        <v>20</v>
      </c>
      <c r="B22" s="2" t="s">
        <v>101</v>
      </c>
      <c r="C22" s="2" t="s">
        <v>102</v>
      </c>
      <c r="D22" s="2" t="s">
        <v>103</v>
      </c>
      <c r="E22" s="10" t="s">
        <v>598</v>
      </c>
      <c r="F22" s="2">
        <v>100</v>
      </c>
      <c r="G22" s="2" t="s">
        <v>104</v>
      </c>
    </row>
    <row r="23" spans="1:7" x14ac:dyDescent="0.15">
      <c r="A23" s="2">
        <v>21</v>
      </c>
      <c r="B23" s="2" t="s">
        <v>105</v>
      </c>
      <c r="C23" s="2" t="s">
        <v>106</v>
      </c>
      <c r="D23" s="2" t="s">
        <v>107</v>
      </c>
      <c r="E23" s="10" t="s">
        <v>599</v>
      </c>
      <c r="F23" s="2">
        <v>25</v>
      </c>
      <c r="G23" s="2" t="s">
        <v>108</v>
      </c>
    </row>
    <row r="24" spans="1:7" x14ac:dyDescent="0.15">
      <c r="A24" s="2">
        <v>22</v>
      </c>
      <c r="B24" s="2" t="s">
        <v>109</v>
      </c>
      <c r="C24" s="2" t="s">
        <v>110</v>
      </c>
      <c r="D24" s="2" t="s">
        <v>111</v>
      </c>
      <c r="E24" s="10" t="s">
        <v>600</v>
      </c>
      <c r="F24" s="2">
        <v>30</v>
      </c>
      <c r="G24" s="2" t="s">
        <v>112</v>
      </c>
    </row>
    <row r="25" spans="1:7" x14ac:dyDescent="0.15">
      <c r="A25" s="2">
        <v>23</v>
      </c>
      <c r="B25" s="2" t="s">
        <v>113</v>
      </c>
      <c r="C25" s="2" t="s">
        <v>114</v>
      </c>
      <c r="D25" s="2" t="s">
        <v>115</v>
      </c>
      <c r="E25" s="10" t="s">
        <v>601</v>
      </c>
      <c r="F25" s="2">
        <v>25</v>
      </c>
      <c r="G25" s="2" t="s">
        <v>116</v>
      </c>
    </row>
    <row r="26" spans="1:7" x14ac:dyDescent="0.15">
      <c r="A26" s="2">
        <v>24</v>
      </c>
      <c r="B26" s="2" t="s">
        <v>117</v>
      </c>
      <c r="C26" s="2" t="s">
        <v>118</v>
      </c>
      <c r="D26" s="2" t="s">
        <v>119</v>
      </c>
      <c r="E26" s="10" t="s">
        <v>602</v>
      </c>
      <c r="F26" s="2">
        <v>30</v>
      </c>
      <c r="G26" s="2" t="s">
        <v>120</v>
      </c>
    </row>
    <row r="27" spans="1:7" x14ac:dyDescent="0.15">
      <c r="A27" s="2">
        <v>25</v>
      </c>
      <c r="B27" s="2" t="s">
        <v>121</v>
      </c>
      <c r="C27" s="2" t="s">
        <v>122</v>
      </c>
      <c r="D27" s="2" t="s">
        <v>123</v>
      </c>
      <c r="E27" s="10" t="s">
        <v>603</v>
      </c>
      <c r="F27" s="2">
        <v>30</v>
      </c>
      <c r="G27" s="2" t="s">
        <v>124</v>
      </c>
    </row>
    <row r="28" spans="1:7" x14ac:dyDescent="0.15">
      <c r="A28" s="2">
        <v>26</v>
      </c>
      <c r="B28" s="2" t="s">
        <v>125</v>
      </c>
      <c r="C28" s="2" t="s">
        <v>126</v>
      </c>
      <c r="D28" s="2" t="s">
        <v>127</v>
      </c>
      <c r="E28" s="10" t="s">
        <v>604</v>
      </c>
      <c r="F28" s="2">
        <v>25</v>
      </c>
      <c r="G28" s="2" t="s">
        <v>128</v>
      </c>
    </row>
    <row r="29" spans="1:7" x14ac:dyDescent="0.15">
      <c r="A29" s="2">
        <v>27</v>
      </c>
      <c r="B29" s="2" t="s">
        <v>129</v>
      </c>
      <c r="C29" s="2" t="s">
        <v>130</v>
      </c>
      <c r="D29" s="2" t="s">
        <v>131</v>
      </c>
      <c r="E29" s="10" t="s">
        <v>605</v>
      </c>
      <c r="F29" s="2">
        <v>50</v>
      </c>
      <c r="G29" s="2" t="s">
        <v>132</v>
      </c>
    </row>
    <row r="30" spans="1:7" x14ac:dyDescent="0.15">
      <c r="A30" s="2">
        <v>28</v>
      </c>
      <c r="B30" s="2" t="s">
        <v>133</v>
      </c>
      <c r="C30" s="2" t="s">
        <v>134</v>
      </c>
      <c r="D30" s="2" t="s">
        <v>135</v>
      </c>
      <c r="E30" s="10" t="s">
        <v>606</v>
      </c>
      <c r="F30" s="2">
        <v>20</v>
      </c>
      <c r="G30" s="2" t="s">
        <v>136</v>
      </c>
    </row>
    <row r="31" spans="1:7" x14ac:dyDescent="0.15">
      <c r="A31" s="2">
        <v>29</v>
      </c>
      <c r="B31" s="2" t="s">
        <v>137</v>
      </c>
      <c r="C31" s="2" t="s">
        <v>138</v>
      </c>
      <c r="D31" s="2" t="s">
        <v>139</v>
      </c>
      <c r="E31" s="10" t="s">
        <v>607</v>
      </c>
      <c r="F31" s="2">
        <v>25</v>
      </c>
      <c r="G31" s="2" t="s">
        <v>140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6"/>
  <sheetViews>
    <sheetView workbookViewId="0">
      <selection activeCell="E16" sqref="E16"/>
    </sheetView>
  </sheetViews>
  <sheetFormatPr defaultColWidth="9" defaultRowHeight="13.5" x14ac:dyDescent="0.15"/>
  <cols>
    <col min="1" max="1" width="9" style="2"/>
    <col min="2" max="2" width="12.5" style="2" customWidth="1"/>
    <col min="3" max="3" width="15" style="2" customWidth="1"/>
    <col min="4" max="4" width="20.25" style="2" customWidth="1"/>
    <col min="5" max="5" width="37.125" style="2" customWidth="1"/>
    <col min="6" max="16384" width="9" style="2"/>
  </cols>
  <sheetData>
    <row r="1" spans="1:6" x14ac:dyDescent="0.15">
      <c r="A1" s="2" t="s">
        <v>5</v>
      </c>
      <c r="B1" s="9" t="s">
        <v>626</v>
      </c>
      <c r="C1" s="2" t="s">
        <v>6</v>
      </c>
      <c r="D1" s="9" t="s">
        <v>630</v>
      </c>
      <c r="E1" s="9" t="s">
        <v>763</v>
      </c>
      <c r="F1" s="2" t="s">
        <v>7</v>
      </c>
    </row>
    <row r="2" spans="1:6" x14ac:dyDescent="0.15">
      <c r="A2" s="2" t="s">
        <v>8</v>
      </c>
      <c r="B2" s="9" t="s">
        <v>575</v>
      </c>
      <c r="C2" s="2" t="s">
        <v>9</v>
      </c>
      <c r="D2" s="9" t="s">
        <v>627</v>
      </c>
      <c r="E2" s="9" t="s">
        <v>764</v>
      </c>
      <c r="F2" s="2" t="s">
        <v>10</v>
      </c>
    </row>
    <row r="3" spans="1:6" x14ac:dyDescent="0.15">
      <c r="A3" s="2">
        <v>1</v>
      </c>
      <c r="B3" s="2">
        <v>0</v>
      </c>
      <c r="C3" s="2" t="s">
        <v>142</v>
      </c>
      <c r="D3" s="2" t="s">
        <v>143</v>
      </c>
      <c r="E3" s="2" t="s">
        <v>765</v>
      </c>
      <c r="F3" s="2" t="s">
        <v>144</v>
      </c>
    </row>
    <row r="4" spans="1:6" x14ac:dyDescent="0.15">
      <c r="A4" s="2">
        <v>2</v>
      </c>
      <c r="B4" s="2">
        <v>0</v>
      </c>
      <c r="C4" s="2" t="s">
        <v>145</v>
      </c>
      <c r="D4" s="2" t="s">
        <v>146</v>
      </c>
      <c r="E4" s="2" t="s">
        <v>766</v>
      </c>
      <c r="F4" s="2" t="s">
        <v>144</v>
      </c>
    </row>
    <row r="5" spans="1:6" x14ac:dyDescent="0.15">
      <c r="A5" s="2">
        <v>3</v>
      </c>
      <c r="B5" s="2">
        <v>0</v>
      </c>
      <c r="C5" s="2" t="s">
        <v>147</v>
      </c>
      <c r="D5" s="2" t="s">
        <v>148</v>
      </c>
      <c r="E5" s="2" t="s">
        <v>767</v>
      </c>
      <c r="F5" s="2" t="s">
        <v>144</v>
      </c>
    </row>
    <row r="6" spans="1:6" x14ac:dyDescent="0.15">
      <c r="A6" s="2">
        <v>4</v>
      </c>
      <c r="B6" s="2">
        <v>1</v>
      </c>
      <c r="C6" s="2" t="s">
        <v>149</v>
      </c>
      <c r="D6" s="2" t="s">
        <v>150</v>
      </c>
      <c r="E6" s="2" t="s">
        <v>768</v>
      </c>
      <c r="F6" s="2" t="s">
        <v>144</v>
      </c>
    </row>
    <row r="7" spans="1:6" x14ac:dyDescent="0.15">
      <c r="A7" s="2">
        <v>5</v>
      </c>
      <c r="B7" s="2">
        <v>2</v>
      </c>
      <c r="C7" s="2" t="s">
        <v>151</v>
      </c>
      <c r="D7" s="2" t="s">
        <v>152</v>
      </c>
      <c r="E7" s="2" t="s">
        <v>768</v>
      </c>
      <c r="F7" s="2" t="s">
        <v>144</v>
      </c>
    </row>
    <row r="8" spans="1:6" x14ac:dyDescent="0.15">
      <c r="A8" s="2">
        <v>6</v>
      </c>
      <c r="B8" s="2">
        <v>3</v>
      </c>
      <c r="C8" s="2" t="s">
        <v>153</v>
      </c>
      <c r="D8" s="2" t="s">
        <v>154</v>
      </c>
      <c r="E8" s="2" t="s">
        <v>768</v>
      </c>
      <c r="F8" s="2" t="s">
        <v>144</v>
      </c>
    </row>
    <row r="9" spans="1:6" x14ac:dyDescent="0.15">
      <c r="A9" s="2">
        <v>7</v>
      </c>
      <c r="B9" s="2">
        <v>4</v>
      </c>
      <c r="C9" s="2" t="s">
        <v>155</v>
      </c>
      <c r="D9" s="2" t="s">
        <v>156</v>
      </c>
      <c r="E9" s="2" t="s">
        <v>768</v>
      </c>
      <c r="F9" s="2" t="s">
        <v>144</v>
      </c>
    </row>
    <row r="10" spans="1:6" x14ac:dyDescent="0.15">
      <c r="A10" s="2">
        <v>8</v>
      </c>
      <c r="B10" s="2">
        <v>5</v>
      </c>
      <c r="C10" s="2" t="s">
        <v>157</v>
      </c>
      <c r="D10" s="2" t="s">
        <v>158</v>
      </c>
      <c r="E10" s="2" t="s">
        <v>768</v>
      </c>
      <c r="F10" s="2" t="s">
        <v>144</v>
      </c>
    </row>
    <row r="11" spans="1:6" x14ac:dyDescent="0.15">
      <c r="A11" s="2">
        <v>9</v>
      </c>
      <c r="B11" s="2">
        <v>1</v>
      </c>
      <c r="C11" s="2" t="s">
        <v>159</v>
      </c>
      <c r="D11" s="2" t="s">
        <v>160</v>
      </c>
      <c r="E11" s="2" t="s">
        <v>769</v>
      </c>
      <c r="F11" s="2" t="s">
        <v>144</v>
      </c>
    </row>
    <row r="12" spans="1:6" x14ac:dyDescent="0.15">
      <c r="A12" s="2">
        <v>10</v>
      </c>
      <c r="B12" s="2">
        <v>2</v>
      </c>
      <c r="C12" s="2" t="s">
        <v>161</v>
      </c>
      <c r="D12" s="2" t="s">
        <v>162</v>
      </c>
      <c r="E12" s="2" t="s">
        <v>769</v>
      </c>
      <c r="F12" s="2" t="s">
        <v>144</v>
      </c>
    </row>
    <row r="13" spans="1:6" x14ac:dyDescent="0.15">
      <c r="A13" s="2">
        <v>11</v>
      </c>
      <c r="B13" s="2">
        <v>3</v>
      </c>
      <c r="C13" s="2" t="s">
        <v>163</v>
      </c>
      <c r="D13" s="2" t="s">
        <v>164</v>
      </c>
      <c r="E13" s="2" t="s">
        <v>769</v>
      </c>
      <c r="F13" s="2" t="s">
        <v>144</v>
      </c>
    </row>
    <row r="14" spans="1:6" x14ac:dyDescent="0.15">
      <c r="A14" s="2">
        <v>12</v>
      </c>
      <c r="B14" s="2">
        <v>4</v>
      </c>
      <c r="C14" s="2" t="s">
        <v>165</v>
      </c>
      <c r="D14" s="2" t="s">
        <v>166</v>
      </c>
      <c r="E14" s="2" t="s">
        <v>769</v>
      </c>
      <c r="F14" s="2" t="s">
        <v>144</v>
      </c>
    </row>
    <row r="15" spans="1:6" x14ac:dyDescent="0.15">
      <c r="A15" s="2">
        <v>13</v>
      </c>
      <c r="B15" s="2">
        <v>5</v>
      </c>
      <c r="C15" s="2" t="s">
        <v>167</v>
      </c>
      <c r="D15" s="2" t="s">
        <v>168</v>
      </c>
      <c r="E15" s="2" t="s">
        <v>769</v>
      </c>
      <c r="F15" s="2" t="s">
        <v>144</v>
      </c>
    </row>
    <row r="16" spans="1:6" x14ac:dyDescent="0.15">
      <c r="A16" s="2">
        <v>36</v>
      </c>
      <c r="B16" s="2">
        <v>0</v>
      </c>
      <c r="C16" s="2" t="s">
        <v>169</v>
      </c>
      <c r="D16" s="2" t="s">
        <v>170</v>
      </c>
      <c r="E16" s="9" t="s">
        <v>772</v>
      </c>
      <c r="F16" s="2" t="s">
        <v>144</v>
      </c>
    </row>
  </sheetData>
  <phoneticPr fontId="3" type="noConversion"/>
  <pageMargins left="0.75" right="0.75" top="1" bottom="1" header="0.51180555555555596" footer="0.5118055555555559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7"/>
  <sheetViews>
    <sheetView workbookViewId="0">
      <selection activeCell="B1" sqref="B1:C1048576"/>
    </sheetView>
  </sheetViews>
  <sheetFormatPr defaultColWidth="9" defaultRowHeight="13.5" x14ac:dyDescent="0.15"/>
  <cols>
    <col min="1" max="1" width="9" style="4"/>
    <col min="2" max="2" width="10.875" style="4" customWidth="1"/>
    <col min="3" max="3" width="19.375" style="4" customWidth="1"/>
    <col min="4" max="4" width="16" style="4" customWidth="1"/>
    <col min="5" max="5" width="48.375" style="4" customWidth="1"/>
    <col min="6" max="7" width="18.25" style="4" customWidth="1"/>
    <col min="8" max="8" width="22.625" style="4" customWidth="1"/>
    <col min="9" max="9" width="15.625" style="4" customWidth="1"/>
    <col min="10" max="10" width="17.5" style="4" customWidth="1"/>
    <col min="11" max="11" width="19.875" style="4" customWidth="1"/>
    <col min="12" max="12" width="18.125" style="4" customWidth="1"/>
    <col min="13" max="13" width="17.125" style="4" customWidth="1"/>
    <col min="14" max="14" width="20.375" style="4" customWidth="1"/>
    <col min="15" max="15" width="17.25" style="4" customWidth="1"/>
    <col min="16" max="16" width="18.25" style="4" customWidth="1"/>
    <col min="17" max="17" width="17.25" style="4" customWidth="1"/>
    <col min="18" max="18" width="16.625" style="4" customWidth="1"/>
    <col min="19" max="16384" width="9" style="4"/>
  </cols>
  <sheetData>
    <row r="1" spans="1:18" x14ac:dyDescent="0.15">
      <c r="A1" s="4" t="s">
        <v>5</v>
      </c>
      <c r="B1" s="4" t="s">
        <v>6</v>
      </c>
      <c r="C1" s="11" t="s">
        <v>632</v>
      </c>
      <c r="D1" s="11" t="s">
        <v>634</v>
      </c>
      <c r="E1" s="4" t="s">
        <v>7</v>
      </c>
      <c r="F1" s="4" t="s">
        <v>200</v>
      </c>
      <c r="G1" s="4" t="s">
        <v>201</v>
      </c>
      <c r="H1" s="4" t="s">
        <v>202</v>
      </c>
      <c r="I1" s="11" t="s">
        <v>635</v>
      </c>
      <c r="J1" s="11" t="s">
        <v>636</v>
      </c>
      <c r="K1" s="11" t="s">
        <v>637</v>
      </c>
      <c r="L1" s="11" t="s">
        <v>638</v>
      </c>
      <c r="M1" s="11" t="s">
        <v>639</v>
      </c>
      <c r="N1" s="11" t="s">
        <v>640</v>
      </c>
      <c r="O1" s="11" t="s">
        <v>641</v>
      </c>
      <c r="P1" s="11" t="s">
        <v>642</v>
      </c>
      <c r="Q1" s="11" t="s">
        <v>643</v>
      </c>
      <c r="R1" s="11" t="s">
        <v>644</v>
      </c>
    </row>
    <row r="2" spans="1:18" x14ac:dyDescent="0.15">
      <c r="A2" s="4" t="s">
        <v>8</v>
      </c>
      <c r="B2" s="4" t="s">
        <v>9</v>
      </c>
      <c r="C2" s="11" t="s">
        <v>631</v>
      </c>
      <c r="D2" s="11" t="s">
        <v>633</v>
      </c>
      <c r="E2" s="4" t="s">
        <v>10</v>
      </c>
      <c r="F2" s="11" t="s">
        <v>657</v>
      </c>
      <c r="G2" s="11" t="s">
        <v>656</v>
      </c>
      <c r="H2" s="11" t="s">
        <v>655</v>
      </c>
      <c r="I2" s="11" t="s">
        <v>645</v>
      </c>
      <c r="J2" s="11" t="s">
        <v>646</v>
      </c>
      <c r="K2" s="11" t="s">
        <v>647</v>
      </c>
      <c r="L2" s="11" t="s">
        <v>648</v>
      </c>
      <c r="M2" s="11" t="s">
        <v>649</v>
      </c>
      <c r="N2" s="11" t="s">
        <v>650</v>
      </c>
      <c r="O2" s="11" t="s">
        <v>651</v>
      </c>
      <c r="P2" s="11" t="s">
        <v>652</v>
      </c>
      <c r="Q2" s="11" t="s">
        <v>653</v>
      </c>
      <c r="R2" s="11" t="s">
        <v>654</v>
      </c>
    </row>
    <row r="3" spans="1:18" x14ac:dyDescent="0.15">
      <c r="A3" s="4">
        <v>1</v>
      </c>
      <c r="B3" s="4" t="s">
        <v>203</v>
      </c>
      <c r="C3" s="4" t="s">
        <v>204</v>
      </c>
      <c r="D3" s="4" t="s">
        <v>206</v>
      </c>
      <c r="E3" s="4" t="s">
        <v>205</v>
      </c>
      <c r="F3" s="4">
        <v>4</v>
      </c>
      <c r="G3" s="4">
        <v>4</v>
      </c>
      <c r="H3" s="4">
        <v>43</v>
      </c>
      <c r="I3" s="4">
        <v>1</v>
      </c>
      <c r="J3" s="4">
        <v>1</v>
      </c>
      <c r="K3" s="4">
        <v>1</v>
      </c>
      <c r="L3" s="4">
        <v>2</v>
      </c>
      <c r="M3" s="4">
        <v>7</v>
      </c>
      <c r="N3" s="4">
        <v>3</v>
      </c>
      <c r="O3" s="4">
        <v>3</v>
      </c>
      <c r="P3" s="4">
        <v>4</v>
      </c>
      <c r="Q3" s="4">
        <v>5</v>
      </c>
      <c r="R3" s="4">
        <v>6</v>
      </c>
    </row>
    <row r="4" spans="1:18" x14ac:dyDescent="0.15">
      <c r="A4" s="4">
        <v>2</v>
      </c>
      <c r="B4" s="4" t="s">
        <v>207</v>
      </c>
      <c r="C4" s="4" t="s">
        <v>208</v>
      </c>
      <c r="D4" s="4" t="s">
        <v>210</v>
      </c>
      <c r="E4" s="4" t="s">
        <v>209</v>
      </c>
      <c r="F4" s="4">
        <v>21</v>
      </c>
      <c r="G4" s="4">
        <v>21</v>
      </c>
      <c r="H4" s="4">
        <v>241</v>
      </c>
      <c r="I4" s="4">
        <v>1</v>
      </c>
      <c r="J4" s="4">
        <v>1</v>
      </c>
      <c r="K4" s="4">
        <v>1</v>
      </c>
      <c r="L4" s="4">
        <v>7</v>
      </c>
      <c r="M4" s="4">
        <v>2</v>
      </c>
      <c r="N4" s="4">
        <v>3</v>
      </c>
      <c r="O4" s="4">
        <v>3</v>
      </c>
      <c r="P4" s="4">
        <v>4</v>
      </c>
      <c r="Q4" s="4">
        <v>5</v>
      </c>
      <c r="R4" s="4">
        <v>6</v>
      </c>
    </row>
    <row r="5" spans="1:18" x14ac:dyDescent="0.15">
      <c r="A5" s="4">
        <v>3</v>
      </c>
      <c r="B5" s="4" t="s">
        <v>211</v>
      </c>
      <c r="C5" s="4" t="s">
        <v>212</v>
      </c>
      <c r="D5" s="4" t="s">
        <v>214</v>
      </c>
      <c r="E5" s="4" t="s">
        <v>213</v>
      </c>
      <c r="F5" s="4">
        <v>74</v>
      </c>
      <c r="G5" s="4">
        <v>74</v>
      </c>
      <c r="H5" s="4">
        <v>1000</v>
      </c>
      <c r="I5" s="4">
        <v>1</v>
      </c>
      <c r="J5" s="4">
        <v>1</v>
      </c>
      <c r="K5" s="4">
        <v>8</v>
      </c>
      <c r="L5" s="4">
        <v>1</v>
      </c>
      <c r="M5" s="4">
        <v>2</v>
      </c>
      <c r="N5" s="4">
        <v>3</v>
      </c>
      <c r="O5" s="4">
        <v>3</v>
      </c>
      <c r="P5" s="4">
        <v>4</v>
      </c>
      <c r="Q5" s="4">
        <v>5</v>
      </c>
      <c r="R5" s="4">
        <v>6</v>
      </c>
    </row>
    <row r="6" spans="1:18" x14ac:dyDescent="0.15">
      <c r="A6" s="4">
        <v>4</v>
      </c>
      <c r="B6" s="4" t="s">
        <v>215</v>
      </c>
      <c r="C6" s="4" t="s">
        <v>216</v>
      </c>
      <c r="D6" s="4" t="s">
        <v>218</v>
      </c>
      <c r="E6" s="4" t="s">
        <v>217</v>
      </c>
      <c r="F6" s="4">
        <v>308</v>
      </c>
      <c r="G6" s="4">
        <v>308</v>
      </c>
      <c r="H6" s="4">
        <v>5001</v>
      </c>
      <c r="I6" s="4">
        <v>1</v>
      </c>
      <c r="J6" s="4">
        <v>1</v>
      </c>
      <c r="K6" s="4">
        <v>1</v>
      </c>
      <c r="L6" s="4">
        <v>7</v>
      </c>
      <c r="M6" s="4">
        <v>2</v>
      </c>
      <c r="N6" s="4">
        <v>3</v>
      </c>
      <c r="O6" s="4">
        <v>3</v>
      </c>
      <c r="P6" s="4">
        <v>4</v>
      </c>
      <c r="Q6" s="4">
        <v>5</v>
      </c>
      <c r="R6" s="4">
        <v>6</v>
      </c>
    </row>
    <row r="7" spans="1:18" x14ac:dyDescent="0.15">
      <c r="A7" s="4">
        <v>5</v>
      </c>
      <c r="B7" s="4" t="s">
        <v>219</v>
      </c>
      <c r="C7" s="4" t="s">
        <v>220</v>
      </c>
      <c r="D7" s="4" t="s">
        <v>222</v>
      </c>
      <c r="E7" s="4" t="s">
        <v>221</v>
      </c>
      <c r="F7" s="4">
        <v>988</v>
      </c>
      <c r="G7" s="4">
        <v>988</v>
      </c>
      <c r="H7" s="4">
        <v>20001</v>
      </c>
      <c r="I7" s="4">
        <v>1</v>
      </c>
      <c r="J7" s="4">
        <v>1</v>
      </c>
      <c r="K7" s="4">
        <v>7</v>
      </c>
      <c r="L7" s="4">
        <v>1</v>
      </c>
      <c r="M7" s="4">
        <v>2</v>
      </c>
      <c r="N7" s="4">
        <v>3</v>
      </c>
      <c r="O7" s="4">
        <v>3</v>
      </c>
      <c r="P7" s="4">
        <v>4</v>
      </c>
      <c r="Q7" s="4">
        <v>5</v>
      </c>
      <c r="R7" s="4">
        <v>6</v>
      </c>
    </row>
    <row r="8" spans="1:18" x14ac:dyDescent="0.15">
      <c r="A8" s="4">
        <v>6</v>
      </c>
      <c r="B8" s="4" t="s">
        <v>223</v>
      </c>
      <c r="C8" s="4" t="s">
        <v>224</v>
      </c>
      <c r="D8" s="4" t="s">
        <v>226</v>
      </c>
      <c r="E8" s="4" t="s">
        <v>225</v>
      </c>
      <c r="F8" s="4">
        <v>3788</v>
      </c>
      <c r="G8" s="4">
        <v>3788</v>
      </c>
      <c r="H8" s="4">
        <v>100000</v>
      </c>
      <c r="I8" s="4">
        <v>1</v>
      </c>
      <c r="J8" s="4">
        <v>1</v>
      </c>
      <c r="K8" s="4">
        <v>7</v>
      </c>
      <c r="L8" s="4">
        <v>1</v>
      </c>
      <c r="M8" s="4">
        <v>2</v>
      </c>
      <c r="N8" s="4">
        <v>3</v>
      </c>
      <c r="O8" s="4">
        <v>3</v>
      </c>
      <c r="P8" s="4">
        <v>4</v>
      </c>
      <c r="Q8" s="4">
        <v>5</v>
      </c>
      <c r="R8" s="4">
        <v>6</v>
      </c>
    </row>
    <row r="9" spans="1:18" x14ac:dyDescent="0.15">
      <c r="A9" s="4">
        <v>7</v>
      </c>
      <c r="B9" s="4" t="s">
        <v>227</v>
      </c>
      <c r="C9" s="4" t="s">
        <v>228</v>
      </c>
      <c r="D9" s="4" t="s">
        <v>230</v>
      </c>
      <c r="E9" s="4" t="s">
        <v>229</v>
      </c>
      <c r="F9" s="4">
        <v>16660</v>
      </c>
      <c r="G9" s="4">
        <v>16660</v>
      </c>
      <c r="H9" s="4">
        <v>600000</v>
      </c>
      <c r="I9" s="4">
        <v>1</v>
      </c>
      <c r="J9" s="4">
        <v>1</v>
      </c>
      <c r="K9" s="4">
        <v>1</v>
      </c>
      <c r="L9" s="4">
        <v>9</v>
      </c>
      <c r="M9" s="4">
        <v>2</v>
      </c>
      <c r="N9" s="4">
        <v>3</v>
      </c>
      <c r="O9" s="4">
        <v>3</v>
      </c>
      <c r="P9" s="4">
        <v>4</v>
      </c>
      <c r="Q9" s="4">
        <v>5</v>
      </c>
      <c r="R9" s="4">
        <v>6</v>
      </c>
    </row>
    <row r="10" spans="1:18" x14ac:dyDescent="0.15">
      <c r="A10" s="4">
        <v>8</v>
      </c>
      <c r="B10" s="4" t="s">
        <v>231</v>
      </c>
      <c r="C10" s="4" t="s">
        <v>232</v>
      </c>
      <c r="D10" s="4" t="s">
        <v>234</v>
      </c>
      <c r="E10" s="4" t="s">
        <v>233</v>
      </c>
      <c r="F10" s="4">
        <v>73304</v>
      </c>
      <c r="G10" s="4">
        <v>73304</v>
      </c>
      <c r="H10" s="4">
        <v>3600000</v>
      </c>
      <c r="I10" s="4">
        <v>1</v>
      </c>
      <c r="J10" s="4">
        <v>1</v>
      </c>
      <c r="K10" s="4">
        <v>1</v>
      </c>
      <c r="L10" s="4">
        <v>8</v>
      </c>
      <c r="M10" s="4">
        <v>2</v>
      </c>
      <c r="N10" s="4">
        <v>3</v>
      </c>
      <c r="O10" s="4">
        <v>3</v>
      </c>
      <c r="P10" s="4">
        <v>4</v>
      </c>
      <c r="Q10" s="4">
        <v>5</v>
      </c>
      <c r="R10" s="4">
        <v>6</v>
      </c>
    </row>
    <row r="11" spans="1:18" x14ac:dyDescent="0.15">
      <c r="A11" s="4">
        <v>9</v>
      </c>
      <c r="B11" s="4" t="s">
        <v>235</v>
      </c>
      <c r="C11" s="4" t="s">
        <v>236</v>
      </c>
      <c r="D11" s="4" t="s">
        <v>238</v>
      </c>
      <c r="E11" s="4" t="s">
        <v>237</v>
      </c>
      <c r="F11" s="4">
        <v>322537</v>
      </c>
      <c r="G11" s="4">
        <v>322537</v>
      </c>
      <c r="H11" s="4">
        <v>21600000</v>
      </c>
      <c r="I11" s="4">
        <v>1</v>
      </c>
      <c r="J11" s="4">
        <v>1</v>
      </c>
      <c r="K11" s="4">
        <v>1</v>
      </c>
      <c r="L11" s="4">
        <v>10</v>
      </c>
      <c r="M11" s="4">
        <v>2</v>
      </c>
      <c r="N11" s="4">
        <v>3</v>
      </c>
      <c r="O11" s="4">
        <v>3</v>
      </c>
      <c r="P11" s="4">
        <v>4</v>
      </c>
      <c r="Q11" s="4">
        <v>5</v>
      </c>
      <c r="R11" s="4">
        <v>6</v>
      </c>
    </row>
    <row r="12" spans="1:18" x14ac:dyDescent="0.15">
      <c r="A12" s="4">
        <v>10</v>
      </c>
      <c r="B12" s="4" t="s">
        <v>239</v>
      </c>
      <c r="C12" s="4" t="s">
        <v>240</v>
      </c>
      <c r="D12" s="4" t="s">
        <v>242</v>
      </c>
      <c r="E12" s="4" t="s">
        <v>241</v>
      </c>
      <c r="F12" s="4">
        <v>1419165</v>
      </c>
      <c r="G12" s="4">
        <v>1419165</v>
      </c>
      <c r="H12" s="4">
        <v>129600000</v>
      </c>
      <c r="I12" s="4">
        <v>1</v>
      </c>
      <c r="J12" s="4">
        <v>1</v>
      </c>
      <c r="K12" s="4">
        <v>1</v>
      </c>
      <c r="L12" s="4">
        <v>11</v>
      </c>
      <c r="M12" s="4">
        <v>2</v>
      </c>
      <c r="N12" s="4">
        <v>3</v>
      </c>
      <c r="O12" s="4">
        <v>3</v>
      </c>
      <c r="P12" s="4">
        <v>4</v>
      </c>
      <c r="Q12" s="4">
        <v>5</v>
      </c>
      <c r="R12" s="4">
        <v>6</v>
      </c>
    </row>
    <row r="13" spans="1:18" x14ac:dyDescent="0.15">
      <c r="A13" s="4">
        <v>11</v>
      </c>
      <c r="B13" s="4" t="s">
        <v>243</v>
      </c>
      <c r="C13" s="4" t="s">
        <v>244</v>
      </c>
      <c r="D13" s="4" t="s">
        <v>247</v>
      </c>
      <c r="E13" s="4" t="s">
        <v>245</v>
      </c>
      <c r="F13" s="4">
        <v>6244327</v>
      </c>
      <c r="G13" s="4">
        <v>6244327</v>
      </c>
      <c r="H13" s="4" t="s">
        <v>246</v>
      </c>
      <c r="I13" s="4">
        <v>1</v>
      </c>
      <c r="J13" s="4">
        <v>1</v>
      </c>
      <c r="K13" s="4">
        <v>7</v>
      </c>
      <c r="L13" s="4">
        <v>1</v>
      </c>
      <c r="M13" s="4">
        <v>2</v>
      </c>
      <c r="N13" s="4">
        <v>3</v>
      </c>
      <c r="O13" s="4">
        <v>3</v>
      </c>
      <c r="P13" s="4">
        <v>4</v>
      </c>
      <c r="Q13" s="4">
        <v>5</v>
      </c>
      <c r="R13" s="4">
        <v>6</v>
      </c>
    </row>
    <row r="14" spans="1:18" x14ac:dyDescent="0.15">
      <c r="A14" s="4">
        <v>12</v>
      </c>
      <c r="B14" s="4" t="s">
        <v>248</v>
      </c>
      <c r="C14" s="4" t="s">
        <v>249</v>
      </c>
      <c r="D14" s="4" t="s">
        <v>259</v>
      </c>
      <c r="E14" s="4" t="s">
        <v>250</v>
      </c>
      <c r="F14" s="4" t="s">
        <v>251</v>
      </c>
      <c r="G14" s="4" t="s">
        <v>251</v>
      </c>
      <c r="H14" s="4" t="s">
        <v>252</v>
      </c>
      <c r="I14" s="4" t="s">
        <v>253</v>
      </c>
      <c r="J14" s="4" t="s">
        <v>253</v>
      </c>
      <c r="K14" s="4" t="s">
        <v>253</v>
      </c>
      <c r="L14" s="4" t="s">
        <v>254</v>
      </c>
      <c r="M14" s="4" t="s">
        <v>255</v>
      </c>
      <c r="N14" s="4" t="s">
        <v>256</v>
      </c>
      <c r="O14" s="4" t="s">
        <v>256</v>
      </c>
      <c r="P14" s="4" t="s">
        <v>257</v>
      </c>
      <c r="Q14" s="4" t="s">
        <v>258</v>
      </c>
      <c r="R14" s="4">
        <v>6</v>
      </c>
    </row>
    <row r="15" spans="1:18" x14ac:dyDescent="0.15">
      <c r="A15" s="4">
        <v>13</v>
      </c>
      <c r="B15" s="4" t="s">
        <v>260</v>
      </c>
      <c r="C15" s="4" t="s">
        <v>261</v>
      </c>
      <c r="D15" s="4" t="s">
        <v>267</v>
      </c>
      <c r="E15" s="4" t="s">
        <v>262</v>
      </c>
      <c r="F15" s="4" t="s">
        <v>263</v>
      </c>
      <c r="G15" s="4" t="s">
        <v>263</v>
      </c>
      <c r="H15" s="4" t="s">
        <v>264</v>
      </c>
      <c r="I15" s="4" t="s">
        <v>253</v>
      </c>
      <c r="J15" s="4" t="s">
        <v>253</v>
      </c>
      <c r="K15" s="4" t="s">
        <v>253</v>
      </c>
      <c r="L15" s="4" t="s">
        <v>265</v>
      </c>
      <c r="M15" s="4" t="s">
        <v>255</v>
      </c>
      <c r="N15" s="4" t="s">
        <v>256</v>
      </c>
      <c r="O15" s="4" t="s">
        <v>256</v>
      </c>
      <c r="P15" s="4" t="s">
        <v>257</v>
      </c>
      <c r="Q15" s="4" t="s">
        <v>258</v>
      </c>
      <c r="R15" s="4" t="s">
        <v>266</v>
      </c>
    </row>
    <row r="16" spans="1:18" x14ac:dyDescent="0.15">
      <c r="A16" s="4">
        <v>14</v>
      </c>
      <c r="B16" s="4" t="s">
        <v>268</v>
      </c>
      <c r="C16" s="4" t="s">
        <v>269</v>
      </c>
      <c r="D16" s="4" t="s">
        <v>274</v>
      </c>
      <c r="E16" s="4" t="s">
        <v>270</v>
      </c>
      <c r="F16" s="4" t="s">
        <v>271</v>
      </c>
      <c r="G16" s="4" t="s">
        <v>271</v>
      </c>
      <c r="H16" s="4" t="s">
        <v>272</v>
      </c>
      <c r="I16" s="4" t="s">
        <v>253</v>
      </c>
      <c r="J16" s="4" t="s">
        <v>253</v>
      </c>
      <c r="K16" s="4" t="s">
        <v>253</v>
      </c>
      <c r="L16" s="4" t="s">
        <v>273</v>
      </c>
      <c r="M16" s="4" t="s">
        <v>255</v>
      </c>
      <c r="N16" s="4" t="s">
        <v>256</v>
      </c>
      <c r="O16" s="4" t="s">
        <v>256</v>
      </c>
      <c r="P16" s="4" t="s">
        <v>257</v>
      </c>
      <c r="Q16" s="4" t="s">
        <v>258</v>
      </c>
      <c r="R16" s="4" t="s">
        <v>266</v>
      </c>
    </row>
    <row r="17" spans="1:18" x14ac:dyDescent="0.15">
      <c r="A17" s="4">
        <v>15</v>
      </c>
      <c r="B17" s="4" t="s">
        <v>275</v>
      </c>
      <c r="C17" s="4" t="s">
        <v>276</v>
      </c>
      <c r="D17" s="4" t="s">
        <v>280</v>
      </c>
      <c r="E17" s="4" t="s">
        <v>277</v>
      </c>
      <c r="F17" s="4" t="s">
        <v>278</v>
      </c>
      <c r="G17" s="4" t="s">
        <v>278</v>
      </c>
      <c r="H17" s="4" t="s">
        <v>279</v>
      </c>
      <c r="I17" s="4" t="s">
        <v>253</v>
      </c>
      <c r="J17" s="4" t="s">
        <v>253</v>
      </c>
      <c r="K17" s="4" t="s">
        <v>253</v>
      </c>
      <c r="L17" s="4" t="s">
        <v>265</v>
      </c>
      <c r="M17" s="4" t="s">
        <v>255</v>
      </c>
      <c r="N17" s="4" t="s">
        <v>256</v>
      </c>
      <c r="O17" s="4" t="s">
        <v>256</v>
      </c>
      <c r="P17" s="4" t="s">
        <v>257</v>
      </c>
      <c r="Q17" s="4" t="s">
        <v>258</v>
      </c>
      <c r="R17" s="4" t="s">
        <v>266</v>
      </c>
    </row>
    <row r="18" spans="1:18" x14ac:dyDescent="0.15">
      <c r="A18" s="4">
        <v>16</v>
      </c>
      <c r="B18" s="4" t="s">
        <v>281</v>
      </c>
      <c r="C18" s="4" t="s">
        <v>282</v>
      </c>
      <c r="D18" s="4" t="s">
        <v>285</v>
      </c>
      <c r="E18" s="4" t="s">
        <v>277</v>
      </c>
      <c r="F18" s="4" t="s">
        <v>283</v>
      </c>
      <c r="G18" s="4" t="s">
        <v>283</v>
      </c>
      <c r="H18" s="4" t="s">
        <v>284</v>
      </c>
      <c r="I18" s="4" t="s">
        <v>253</v>
      </c>
      <c r="J18" s="4" t="s">
        <v>253</v>
      </c>
      <c r="K18" s="4" t="s">
        <v>253</v>
      </c>
      <c r="L18" s="4" t="s">
        <v>273</v>
      </c>
      <c r="M18" s="4" t="s">
        <v>255</v>
      </c>
      <c r="N18" s="4" t="s">
        <v>256</v>
      </c>
      <c r="O18" s="4" t="s">
        <v>256</v>
      </c>
      <c r="P18" s="4" t="s">
        <v>257</v>
      </c>
      <c r="Q18" s="4" t="s">
        <v>258</v>
      </c>
      <c r="R18" s="4" t="s">
        <v>266</v>
      </c>
    </row>
    <row r="19" spans="1:18" x14ac:dyDescent="0.15">
      <c r="A19" s="4">
        <v>17</v>
      </c>
      <c r="B19" s="4" t="s">
        <v>286</v>
      </c>
      <c r="C19" s="4" t="s">
        <v>287</v>
      </c>
      <c r="D19" s="4" t="s">
        <v>291</v>
      </c>
      <c r="E19" s="4" t="s">
        <v>288</v>
      </c>
      <c r="F19" s="4" t="s">
        <v>289</v>
      </c>
      <c r="G19" s="4" t="s">
        <v>289</v>
      </c>
      <c r="H19" s="4" t="s">
        <v>290</v>
      </c>
      <c r="I19" s="4" t="s">
        <v>253</v>
      </c>
      <c r="J19" s="4" t="s">
        <v>253</v>
      </c>
      <c r="K19" s="4" t="s">
        <v>253</v>
      </c>
      <c r="L19" s="4" t="s">
        <v>265</v>
      </c>
      <c r="M19" s="4" t="s">
        <v>255</v>
      </c>
      <c r="N19" s="4" t="s">
        <v>256</v>
      </c>
      <c r="O19" s="4" t="s">
        <v>256</v>
      </c>
      <c r="P19" s="4" t="s">
        <v>257</v>
      </c>
      <c r="Q19" s="4" t="s">
        <v>258</v>
      </c>
      <c r="R19" s="4" t="s">
        <v>266</v>
      </c>
    </row>
    <row r="20" spans="1:18" x14ac:dyDescent="0.15">
      <c r="A20" s="4">
        <v>18</v>
      </c>
      <c r="B20" s="4" t="s">
        <v>292</v>
      </c>
      <c r="C20" s="4" t="s">
        <v>293</v>
      </c>
      <c r="D20" s="4" t="s">
        <v>297</v>
      </c>
      <c r="E20" s="4" t="s">
        <v>294</v>
      </c>
      <c r="F20" s="4" t="s">
        <v>295</v>
      </c>
      <c r="G20" s="4" t="s">
        <v>295</v>
      </c>
      <c r="H20" s="4" t="s">
        <v>296</v>
      </c>
      <c r="I20" s="4" t="s">
        <v>253</v>
      </c>
      <c r="J20" s="4" t="s">
        <v>253</v>
      </c>
      <c r="K20" s="4" t="s">
        <v>253</v>
      </c>
      <c r="L20" s="4" t="s">
        <v>254</v>
      </c>
      <c r="M20" s="4" t="s">
        <v>255</v>
      </c>
      <c r="N20" s="4" t="s">
        <v>256</v>
      </c>
      <c r="O20" s="4" t="s">
        <v>256</v>
      </c>
      <c r="P20" s="4" t="s">
        <v>257</v>
      </c>
      <c r="Q20" s="4" t="s">
        <v>258</v>
      </c>
      <c r="R20" s="4" t="s">
        <v>266</v>
      </c>
    </row>
    <row r="21" spans="1:18" x14ac:dyDescent="0.15">
      <c r="A21" s="4">
        <v>19</v>
      </c>
      <c r="B21" s="4" t="s">
        <v>298</v>
      </c>
      <c r="C21" s="4" t="s">
        <v>299</v>
      </c>
      <c r="D21" s="4" t="s">
        <v>303</v>
      </c>
      <c r="E21" s="4" t="s">
        <v>300</v>
      </c>
      <c r="F21" s="4" t="s">
        <v>301</v>
      </c>
      <c r="G21" s="4" t="s">
        <v>301</v>
      </c>
      <c r="H21" s="4" t="s">
        <v>302</v>
      </c>
      <c r="I21" s="4" t="s">
        <v>253</v>
      </c>
      <c r="J21" s="4" t="s">
        <v>253</v>
      </c>
      <c r="K21" s="4" t="s">
        <v>253</v>
      </c>
      <c r="L21" s="4" t="s">
        <v>273</v>
      </c>
      <c r="M21" s="4" t="s">
        <v>255</v>
      </c>
      <c r="N21" s="4" t="s">
        <v>256</v>
      </c>
      <c r="O21" s="4" t="s">
        <v>256</v>
      </c>
      <c r="P21" s="4" t="s">
        <v>257</v>
      </c>
      <c r="Q21" s="4" t="s">
        <v>258</v>
      </c>
      <c r="R21" s="4" t="s">
        <v>266</v>
      </c>
    </row>
    <row r="22" spans="1:18" x14ac:dyDescent="0.15">
      <c r="A22" s="4">
        <v>20</v>
      </c>
      <c r="B22" s="4" t="s">
        <v>304</v>
      </c>
      <c r="C22" s="4" t="s">
        <v>305</v>
      </c>
      <c r="D22" s="4" t="s">
        <v>309</v>
      </c>
      <c r="E22" s="4" t="s">
        <v>306</v>
      </c>
      <c r="F22" s="4" t="s">
        <v>307</v>
      </c>
      <c r="G22" s="4" t="s">
        <v>307</v>
      </c>
      <c r="H22" s="4" t="s">
        <v>308</v>
      </c>
      <c r="I22" s="4" t="s">
        <v>253</v>
      </c>
      <c r="J22" s="4" t="s">
        <v>253</v>
      </c>
      <c r="K22" s="4" t="s">
        <v>253</v>
      </c>
      <c r="L22" s="4" t="s">
        <v>265</v>
      </c>
      <c r="M22" s="4" t="s">
        <v>255</v>
      </c>
      <c r="N22" s="4" t="s">
        <v>256</v>
      </c>
      <c r="O22" s="4" t="s">
        <v>256</v>
      </c>
      <c r="P22" s="4" t="s">
        <v>257</v>
      </c>
      <c r="Q22" s="4" t="s">
        <v>258</v>
      </c>
      <c r="R22" s="4" t="s">
        <v>266</v>
      </c>
    </row>
    <row r="23" spans="1:18" x14ac:dyDescent="0.15">
      <c r="A23" s="4">
        <v>21</v>
      </c>
      <c r="B23" s="4" t="s">
        <v>310</v>
      </c>
      <c r="C23" s="4" t="s">
        <v>311</v>
      </c>
      <c r="D23" s="4" t="s">
        <v>315</v>
      </c>
      <c r="E23" s="4" t="s">
        <v>312</v>
      </c>
      <c r="F23" s="4" t="s">
        <v>313</v>
      </c>
      <c r="G23" s="4" t="s">
        <v>313</v>
      </c>
      <c r="H23" s="4" t="s">
        <v>314</v>
      </c>
      <c r="I23" s="4" t="s">
        <v>253</v>
      </c>
      <c r="J23" s="4" t="s">
        <v>253</v>
      </c>
      <c r="K23" s="4" t="s">
        <v>253</v>
      </c>
      <c r="L23" s="4" t="s">
        <v>273</v>
      </c>
      <c r="M23" s="4" t="s">
        <v>255</v>
      </c>
      <c r="N23" s="4" t="s">
        <v>256</v>
      </c>
      <c r="O23" s="4" t="s">
        <v>256</v>
      </c>
      <c r="P23" s="4" t="s">
        <v>257</v>
      </c>
      <c r="Q23" s="4" t="s">
        <v>258</v>
      </c>
      <c r="R23" s="4" t="s">
        <v>266</v>
      </c>
    </row>
    <row r="24" spans="1:18" x14ac:dyDescent="0.15">
      <c r="A24" s="4">
        <v>22</v>
      </c>
      <c r="B24" s="4" t="s">
        <v>316</v>
      </c>
      <c r="C24" s="4" t="s">
        <v>317</v>
      </c>
      <c r="D24" s="4" t="s">
        <v>321</v>
      </c>
      <c r="E24" s="4" t="s">
        <v>318</v>
      </c>
      <c r="F24" s="4" t="s">
        <v>319</v>
      </c>
      <c r="G24" s="4" t="s">
        <v>319</v>
      </c>
      <c r="H24" s="4" t="s">
        <v>320</v>
      </c>
      <c r="I24" s="4" t="s">
        <v>253</v>
      </c>
      <c r="J24" s="4" t="s">
        <v>253</v>
      </c>
      <c r="K24" s="4" t="s">
        <v>253</v>
      </c>
      <c r="L24" s="4" t="s">
        <v>273</v>
      </c>
      <c r="M24" s="4" t="s">
        <v>255</v>
      </c>
      <c r="N24" s="4" t="s">
        <v>256</v>
      </c>
      <c r="O24" s="4" t="s">
        <v>256</v>
      </c>
      <c r="P24" s="4" t="s">
        <v>257</v>
      </c>
      <c r="Q24" s="4" t="s">
        <v>258</v>
      </c>
      <c r="R24" s="4" t="s">
        <v>266</v>
      </c>
    </row>
    <row r="25" spans="1:18" x14ac:dyDescent="0.15">
      <c r="A25" s="4">
        <v>23</v>
      </c>
      <c r="B25" s="4" t="s">
        <v>322</v>
      </c>
      <c r="C25" s="4" t="s">
        <v>323</v>
      </c>
      <c r="D25" s="4" t="s">
        <v>327</v>
      </c>
      <c r="E25" s="4" t="s">
        <v>324</v>
      </c>
      <c r="F25" s="4" t="s">
        <v>325</v>
      </c>
      <c r="G25" s="4" t="s">
        <v>325</v>
      </c>
      <c r="H25" s="4" t="s">
        <v>326</v>
      </c>
      <c r="I25" s="4" t="s">
        <v>253</v>
      </c>
      <c r="J25" s="4" t="s">
        <v>253</v>
      </c>
      <c r="K25" s="4" t="s">
        <v>253</v>
      </c>
      <c r="L25" s="4" t="s">
        <v>273</v>
      </c>
      <c r="M25" s="4" t="s">
        <v>255</v>
      </c>
      <c r="N25" s="4" t="s">
        <v>256</v>
      </c>
      <c r="O25" s="4" t="s">
        <v>256</v>
      </c>
      <c r="P25" s="4" t="s">
        <v>257</v>
      </c>
      <c r="Q25" s="4" t="s">
        <v>258</v>
      </c>
      <c r="R25" s="4" t="s">
        <v>266</v>
      </c>
    </row>
    <row r="26" spans="1:18" x14ac:dyDescent="0.15">
      <c r="A26" s="4">
        <v>24</v>
      </c>
      <c r="B26" s="4" t="s">
        <v>328</v>
      </c>
      <c r="C26" s="4" t="s">
        <v>329</v>
      </c>
      <c r="D26" s="4" t="s">
        <v>333</v>
      </c>
      <c r="E26" s="4" t="s">
        <v>330</v>
      </c>
      <c r="F26" s="4" t="s">
        <v>331</v>
      </c>
      <c r="G26" s="4" t="s">
        <v>331</v>
      </c>
      <c r="H26" s="4" t="s">
        <v>332</v>
      </c>
      <c r="I26" s="4" t="s">
        <v>253</v>
      </c>
      <c r="J26" s="4" t="s">
        <v>253</v>
      </c>
      <c r="K26" s="4" t="s">
        <v>253</v>
      </c>
      <c r="L26" s="4" t="s">
        <v>273</v>
      </c>
      <c r="M26" s="4" t="s">
        <v>255</v>
      </c>
      <c r="N26" s="4" t="s">
        <v>256</v>
      </c>
      <c r="O26" s="4" t="s">
        <v>256</v>
      </c>
      <c r="P26" s="4" t="s">
        <v>257</v>
      </c>
      <c r="Q26" s="4" t="s">
        <v>258</v>
      </c>
      <c r="R26" s="4" t="s">
        <v>266</v>
      </c>
    </row>
    <row r="27" spans="1:18" x14ac:dyDescent="0.15">
      <c r="A27" s="4">
        <v>25</v>
      </c>
      <c r="B27" s="4" t="s">
        <v>334</v>
      </c>
      <c r="C27" s="4" t="s">
        <v>335</v>
      </c>
      <c r="D27" s="4" t="s">
        <v>339</v>
      </c>
      <c r="E27" s="4" t="s">
        <v>336</v>
      </c>
      <c r="F27" s="4" t="s">
        <v>337</v>
      </c>
      <c r="G27" s="4" t="s">
        <v>337</v>
      </c>
      <c r="H27" s="4" t="s">
        <v>338</v>
      </c>
      <c r="I27" s="4" t="s">
        <v>253</v>
      </c>
      <c r="J27" s="4" t="s">
        <v>253</v>
      </c>
      <c r="K27" s="4" t="s">
        <v>253</v>
      </c>
      <c r="L27" s="4" t="s">
        <v>273</v>
      </c>
      <c r="M27" s="4" t="s">
        <v>255</v>
      </c>
      <c r="N27" s="4" t="s">
        <v>256</v>
      </c>
      <c r="O27" s="4" t="s">
        <v>256</v>
      </c>
      <c r="P27" s="4" t="s">
        <v>257</v>
      </c>
      <c r="Q27" s="4" t="s">
        <v>258</v>
      </c>
      <c r="R27" s="4" t="s">
        <v>266</v>
      </c>
    </row>
  </sheetData>
  <phoneticPr fontId="3" type="noConversion"/>
  <pageMargins left="0.75" right="0.75" top="1" bottom="1" header="0.51180555555555596" footer="0.51180555555555596"/>
  <ignoredErrors>
    <ignoredError sqref="H13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3"/>
  <sheetViews>
    <sheetView workbookViewId="0">
      <selection activeCell="E31" sqref="E31"/>
    </sheetView>
  </sheetViews>
  <sheetFormatPr defaultColWidth="9" defaultRowHeight="13.5" x14ac:dyDescent="0.15"/>
  <cols>
    <col min="1" max="1" width="5.125" style="2" customWidth="1"/>
    <col min="2" max="2" width="9" style="2"/>
    <col min="3" max="3" width="11.5" style="2" customWidth="1"/>
    <col min="4" max="4" width="12.625" style="3"/>
    <col min="5" max="5" width="33.25" style="2" customWidth="1"/>
    <col min="6" max="16384" width="9" style="2"/>
  </cols>
  <sheetData>
    <row r="1" spans="1:5" x14ac:dyDescent="0.15">
      <c r="A1" s="2" t="s">
        <v>5</v>
      </c>
      <c r="B1" s="2" t="s">
        <v>6</v>
      </c>
      <c r="C1" s="9" t="s">
        <v>628</v>
      </c>
      <c r="D1" s="10" t="s">
        <v>658</v>
      </c>
      <c r="E1" s="2" t="s">
        <v>7</v>
      </c>
    </row>
    <row r="2" spans="1:5" x14ac:dyDescent="0.15">
      <c r="A2" s="2" t="s">
        <v>8</v>
      </c>
      <c r="B2" s="2" t="s">
        <v>9</v>
      </c>
      <c r="C2" s="9" t="s">
        <v>618</v>
      </c>
      <c r="D2" s="10" t="s">
        <v>659</v>
      </c>
      <c r="E2" s="2" t="s">
        <v>10</v>
      </c>
    </row>
    <row r="3" spans="1:5" x14ac:dyDescent="0.15">
      <c r="A3" s="2">
        <v>1</v>
      </c>
      <c r="B3" s="2" t="s">
        <v>340</v>
      </c>
      <c r="C3" s="2" t="s">
        <v>341</v>
      </c>
      <c r="D3" s="3" t="s">
        <v>342</v>
      </c>
      <c r="E3" s="2" t="s">
        <v>343</v>
      </c>
    </row>
    <row r="4" spans="1:5" x14ac:dyDescent="0.15">
      <c r="A4" s="2">
        <v>2</v>
      </c>
      <c r="B4" s="2" t="s">
        <v>344</v>
      </c>
      <c r="C4" s="2" t="s">
        <v>345</v>
      </c>
      <c r="D4" s="3" t="s">
        <v>346</v>
      </c>
      <c r="E4" s="2" t="s">
        <v>347</v>
      </c>
    </row>
    <row r="5" spans="1:5" x14ac:dyDescent="0.15">
      <c r="A5" s="2">
        <v>3</v>
      </c>
      <c r="B5" s="2" t="s">
        <v>348</v>
      </c>
      <c r="C5" s="2" t="s">
        <v>349</v>
      </c>
      <c r="D5" s="3" t="s">
        <v>350</v>
      </c>
      <c r="E5" s="2" t="s">
        <v>351</v>
      </c>
    </row>
    <row r="6" spans="1:5" x14ac:dyDescent="0.15">
      <c r="A6" s="2">
        <v>4</v>
      </c>
      <c r="B6" s="2" t="s">
        <v>352</v>
      </c>
      <c r="C6" s="2" t="s">
        <v>353</v>
      </c>
      <c r="D6" s="3" t="s">
        <v>354</v>
      </c>
      <c r="E6" s="2" t="s">
        <v>355</v>
      </c>
    </row>
    <row r="7" spans="1:5" x14ac:dyDescent="0.15">
      <c r="A7" s="2">
        <v>5</v>
      </c>
      <c r="B7" s="2" t="s">
        <v>356</v>
      </c>
      <c r="C7" s="2" t="s">
        <v>357</v>
      </c>
      <c r="D7" s="3" t="s">
        <v>358</v>
      </c>
      <c r="E7" s="2" t="s">
        <v>359</v>
      </c>
    </row>
    <row r="8" spans="1:5" x14ac:dyDescent="0.15">
      <c r="A8" s="2">
        <v>6</v>
      </c>
      <c r="B8" s="2" t="s">
        <v>360</v>
      </c>
      <c r="C8" s="2" t="s">
        <v>361</v>
      </c>
      <c r="D8" s="3" t="s">
        <v>362</v>
      </c>
      <c r="E8" s="2" t="s">
        <v>363</v>
      </c>
    </row>
    <row r="9" spans="1:5" x14ac:dyDescent="0.15">
      <c r="A9" s="2">
        <v>7</v>
      </c>
      <c r="B9" s="2" t="s">
        <v>197</v>
      </c>
      <c r="C9" s="2" t="s">
        <v>364</v>
      </c>
      <c r="D9" s="3" t="s">
        <v>365</v>
      </c>
      <c r="E9" s="2" t="s">
        <v>366</v>
      </c>
    </row>
    <row r="10" spans="1:5" x14ac:dyDescent="0.15">
      <c r="A10" s="2">
        <v>8</v>
      </c>
      <c r="B10" s="2" t="s">
        <v>367</v>
      </c>
      <c r="C10" s="2" t="s">
        <v>368</v>
      </c>
      <c r="D10" s="3" t="s">
        <v>369</v>
      </c>
      <c r="E10" s="2" t="s">
        <v>370</v>
      </c>
    </row>
    <row r="11" spans="1:5" x14ac:dyDescent="0.15">
      <c r="A11" s="2">
        <v>9</v>
      </c>
      <c r="B11" s="2" t="s">
        <v>198</v>
      </c>
      <c r="C11" s="2" t="s">
        <v>371</v>
      </c>
      <c r="D11" s="3" t="s">
        <v>372</v>
      </c>
      <c r="E11" s="2" t="s">
        <v>373</v>
      </c>
    </row>
    <row r="12" spans="1:5" x14ac:dyDescent="0.15">
      <c r="A12" s="2">
        <v>10</v>
      </c>
      <c r="B12" s="2" t="s">
        <v>374</v>
      </c>
      <c r="C12" s="2" t="s">
        <v>375</v>
      </c>
      <c r="D12" s="3" t="s">
        <v>376</v>
      </c>
      <c r="E12" s="2" t="s">
        <v>377</v>
      </c>
    </row>
    <row r="13" spans="1:5" x14ac:dyDescent="0.15">
      <c r="A13" s="2">
        <v>11</v>
      </c>
      <c r="B13" s="2" t="s">
        <v>199</v>
      </c>
      <c r="C13" s="2" t="s">
        <v>378</v>
      </c>
      <c r="D13" s="3" t="s">
        <v>379</v>
      </c>
      <c r="E13" s="2" t="s">
        <v>380</v>
      </c>
    </row>
  </sheetData>
  <phoneticPr fontId="3" type="noConversion"/>
  <pageMargins left="0.75" right="0.75" top="1" bottom="1" header="0.51180555555555596" footer="0.5118055555555559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15"/>
  <sheetViews>
    <sheetView workbookViewId="0">
      <selection activeCell="G2" sqref="G2"/>
    </sheetView>
  </sheetViews>
  <sheetFormatPr defaultColWidth="9" defaultRowHeight="13.5" x14ac:dyDescent="0.15"/>
  <cols>
    <col min="1" max="1" width="9" style="2"/>
    <col min="2" max="2" width="13" style="2" customWidth="1"/>
    <col min="3" max="3" width="10.875" style="2" customWidth="1"/>
    <col min="4" max="4" width="10.375" style="2" customWidth="1"/>
    <col min="5" max="5" width="15.25" style="2" customWidth="1"/>
    <col min="6" max="6" width="12.625" style="2" customWidth="1"/>
    <col min="7" max="7" width="86.25" style="2" customWidth="1"/>
    <col min="8" max="8" width="13.75" style="2" customWidth="1"/>
    <col min="9" max="9" width="9.375" style="2" customWidth="1"/>
    <col min="10" max="12" width="9" style="2"/>
    <col min="13" max="13" width="47.5" style="2" customWidth="1"/>
    <col min="14" max="14" width="10.375" style="2" customWidth="1"/>
    <col min="15" max="16384" width="9" style="2"/>
  </cols>
  <sheetData>
    <row r="1" spans="1:14" x14ac:dyDescent="0.15">
      <c r="A1" s="2" t="s">
        <v>5</v>
      </c>
      <c r="B1" s="2" t="s">
        <v>703</v>
      </c>
      <c r="C1" s="2" t="s">
        <v>6</v>
      </c>
      <c r="D1" s="9" t="s">
        <v>629</v>
      </c>
      <c r="E1" s="9" t="s">
        <v>666</v>
      </c>
      <c r="F1" s="9" t="s">
        <v>609</v>
      </c>
      <c r="G1" s="9" t="s">
        <v>608</v>
      </c>
      <c r="H1" s="9" t="s">
        <v>669</v>
      </c>
      <c r="I1" s="9" t="s">
        <v>668</v>
      </c>
      <c r="J1" s="9" t="s">
        <v>667</v>
      </c>
      <c r="K1" s="9" t="s">
        <v>670</v>
      </c>
      <c r="L1" s="9" t="s">
        <v>671</v>
      </c>
      <c r="M1" s="9" t="s">
        <v>672</v>
      </c>
      <c r="N1" s="9" t="s">
        <v>673</v>
      </c>
    </row>
    <row r="2" spans="1:14" x14ac:dyDescent="0.15">
      <c r="A2" s="2" t="s">
        <v>8</v>
      </c>
      <c r="B2" s="2" t="s">
        <v>704</v>
      </c>
      <c r="C2" s="2" t="s">
        <v>9</v>
      </c>
      <c r="D2" s="9" t="s">
        <v>661</v>
      </c>
      <c r="E2" s="9" t="s">
        <v>662</v>
      </c>
      <c r="F2" s="9" t="s">
        <v>660</v>
      </c>
      <c r="G2" s="2" t="s">
        <v>10</v>
      </c>
      <c r="H2" s="9" t="s">
        <v>674</v>
      </c>
      <c r="I2" s="9" t="s">
        <v>675</v>
      </c>
      <c r="J2" s="9" t="s">
        <v>676</v>
      </c>
      <c r="K2" s="2" t="s">
        <v>381</v>
      </c>
      <c r="L2" s="9" t="s">
        <v>677</v>
      </c>
      <c r="M2" s="2" t="s">
        <v>171</v>
      </c>
      <c r="N2" s="9" t="s">
        <v>678</v>
      </c>
    </row>
    <row r="3" spans="1:14" x14ac:dyDescent="0.15">
      <c r="A3" s="2">
        <v>1001</v>
      </c>
      <c r="B3" s="2">
        <v>0</v>
      </c>
      <c r="C3" s="2" t="s">
        <v>382</v>
      </c>
      <c r="D3" s="9" t="s">
        <v>664</v>
      </c>
      <c r="E3" s="9" t="s">
        <v>663</v>
      </c>
      <c r="F3" s="2" t="s">
        <v>384</v>
      </c>
      <c r="G3" s="2" t="s">
        <v>385</v>
      </c>
      <c r="H3" s="2">
        <v>2</v>
      </c>
      <c r="I3" s="2">
        <v>0</v>
      </c>
      <c r="J3" s="2">
        <v>0</v>
      </c>
      <c r="K3" s="2">
        <v>6</v>
      </c>
      <c r="L3" s="2">
        <v>1</v>
      </c>
      <c r="M3" s="2">
        <v>60</v>
      </c>
      <c r="N3" s="2">
        <v>0</v>
      </c>
    </row>
    <row r="4" spans="1:14" x14ac:dyDescent="0.15">
      <c r="A4" s="2">
        <v>1002</v>
      </c>
      <c r="B4" s="2">
        <v>1</v>
      </c>
      <c r="C4" s="2" t="s">
        <v>429</v>
      </c>
      <c r="D4" s="2" t="s">
        <v>430</v>
      </c>
      <c r="E4" s="2" t="s">
        <v>431</v>
      </c>
      <c r="F4" s="2" t="s">
        <v>432</v>
      </c>
      <c r="G4" s="2" t="s">
        <v>433</v>
      </c>
      <c r="H4" s="2">
        <v>3</v>
      </c>
      <c r="I4" s="2">
        <v>30</v>
      </c>
      <c r="J4" s="2">
        <v>1</v>
      </c>
      <c r="K4" s="2">
        <v>50</v>
      </c>
      <c r="L4" s="2">
        <v>2</v>
      </c>
      <c r="M4" s="2" t="s">
        <v>434</v>
      </c>
      <c r="N4" s="2">
        <v>0</v>
      </c>
    </row>
    <row r="5" spans="1:14" x14ac:dyDescent="0.15">
      <c r="A5" s="2">
        <v>1003</v>
      </c>
      <c r="B5" s="2">
        <v>2</v>
      </c>
      <c r="C5" s="2" t="s">
        <v>409</v>
      </c>
      <c r="D5" s="2" t="s">
        <v>410</v>
      </c>
      <c r="E5" s="2" t="s">
        <v>383</v>
      </c>
      <c r="F5" s="2" t="s">
        <v>411</v>
      </c>
      <c r="G5" s="2" t="s">
        <v>412</v>
      </c>
      <c r="H5" s="2">
        <v>1</v>
      </c>
      <c r="I5" s="2">
        <v>1</v>
      </c>
      <c r="J5" s="2">
        <v>0</v>
      </c>
      <c r="K5" s="2">
        <v>6</v>
      </c>
      <c r="L5" s="2">
        <v>3102</v>
      </c>
      <c r="M5" s="2">
        <v>1</v>
      </c>
      <c r="N5" s="2">
        <v>0</v>
      </c>
    </row>
    <row r="6" spans="1:14" x14ac:dyDescent="0.15">
      <c r="A6" s="2">
        <v>1004</v>
      </c>
      <c r="B6" s="2">
        <v>3</v>
      </c>
      <c r="C6" s="2" t="s">
        <v>413</v>
      </c>
      <c r="D6" s="2" t="s">
        <v>414</v>
      </c>
      <c r="E6" s="2" t="s">
        <v>383</v>
      </c>
      <c r="F6" s="2" t="s">
        <v>415</v>
      </c>
      <c r="G6" s="2" t="s">
        <v>416</v>
      </c>
      <c r="H6" s="2">
        <v>1</v>
      </c>
      <c r="I6" s="2">
        <v>1</v>
      </c>
      <c r="J6" s="2">
        <v>1</v>
      </c>
      <c r="K6" s="2">
        <v>1280</v>
      </c>
      <c r="L6" s="2">
        <v>3103</v>
      </c>
      <c r="M6" s="2">
        <v>1</v>
      </c>
      <c r="N6" s="2">
        <v>0</v>
      </c>
    </row>
    <row r="7" spans="1:14" x14ac:dyDescent="0.15">
      <c r="A7" s="2">
        <v>1005</v>
      </c>
      <c r="B7" s="2">
        <v>4</v>
      </c>
      <c r="C7" s="2" t="s">
        <v>417</v>
      </c>
      <c r="D7" s="2" t="s">
        <v>418</v>
      </c>
      <c r="E7" s="2" t="s">
        <v>383</v>
      </c>
      <c r="F7" s="2" t="s">
        <v>419</v>
      </c>
      <c r="G7" s="2" t="s">
        <v>420</v>
      </c>
      <c r="H7" s="2">
        <v>1</v>
      </c>
      <c r="I7" s="2">
        <v>1</v>
      </c>
      <c r="J7" s="2">
        <v>1</v>
      </c>
      <c r="K7" s="2">
        <v>1680</v>
      </c>
      <c r="L7" s="2">
        <v>3104</v>
      </c>
      <c r="M7" s="2">
        <v>1</v>
      </c>
      <c r="N7" s="2">
        <v>0</v>
      </c>
    </row>
    <row r="8" spans="1:14" x14ac:dyDescent="0.15">
      <c r="A8" s="2">
        <v>1006</v>
      </c>
      <c r="B8" s="2">
        <v>5</v>
      </c>
      <c r="C8" s="2" t="s">
        <v>421</v>
      </c>
      <c r="D8" s="2" t="s">
        <v>422</v>
      </c>
      <c r="E8" s="2" t="s">
        <v>383</v>
      </c>
      <c r="F8" s="2" t="s">
        <v>423</v>
      </c>
      <c r="G8" s="2" t="s">
        <v>424</v>
      </c>
      <c r="H8" s="2">
        <v>1</v>
      </c>
      <c r="I8" s="2">
        <v>1</v>
      </c>
      <c r="J8" s="2">
        <v>1</v>
      </c>
      <c r="K8" s="2">
        <v>980</v>
      </c>
      <c r="L8" s="2">
        <v>3105</v>
      </c>
      <c r="M8" s="2">
        <v>1</v>
      </c>
      <c r="N8" s="2">
        <v>0</v>
      </c>
    </row>
    <row r="9" spans="1:14" x14ac:dyDescent="0.15">
      <c r="A9" s="2">
        <v>1007</v>
      </c>
      <c r="B9" s="2">
        <v>6</v>
      </c>
      <c r="C9" s="2" t="s">
        <v>425</v>
      </c>
      <c r="D9" s="2" t="s">
        <v>426</v>
      </c>
      <c r="E9" s="2" t="s">
        <v>383</v>
      </c>
      <c r="F9" s="2" t="s">
        <v>427</v>
      </c>
      <c r="G9" s="2" t="s">
        <v>428</v>
      </c>
      <c r="H9" s="2">
        <v>1</v>
      </c>
      <c r="I9" s="2">
        <v>1</v>
      </c>
      <c r="J9" s="2">
        <v>1</v>
      </c>
      <c r="K9" s="2">
        <v>1980</v>
      </c>
      <c r="L9" s="2">
        <v>3106</v>
      </c>
      <c r="M9" s="2">
        <v>1</v>
      </c>
      <c r="N9" s="2">
        <v>0</v>
      </c>
    </row>
    <row r="10" spans="1:14" x14ac:dyDescent="0.15">
      <c r="A10" s="2">
        <v>2001</v>
      </c>
      <c r="B10" s="2">
        <v>7</v>
      </c>
      <c r="C10" s="2" t="s">
        <v>386</v>
      </c>
      <c r="D10" s="9" t="s">
        <v>665</v>
      </c>
      <c r="E10" s="2" t="s">
        <v>383</v>
      </c>
      <c r="F10" s="2" t="s">
        <v>387</v>
      </c>
      <c r="G10" s="2" t="s">
        <v>388</v>
      </c>
      <c r="H10" s="2">
        <v>2</v>
      </c>
      <c r="I10" s="2">
        <v>0</v>
      </c>
      <c r="J10" s="2">
        <v>0</v>
      </c>
      <c r="K10" s="2">
        <v>30</v>
      </c>
      <c r="L10" s="2">
        <v>1</v>
      </c>
      <c r="M10" s="2">
        <v>300</v>
      </c>
      <c r="N10" s="2">
        <v>0</v>
      </c>
    </row>
    <row r="11" spans="1:14" x14ac:dyDescent="0.15">
      <c r="A11" s="2">
        <v>4001</v>
      </c>
      <c r="B11" s="2">
        <v>8</v>
      </c>
      <c r="C11" s="2" t="s">
        <v>389</v>
      </c>
      <c r="D11" s="2" t="s">
        <v>390</v>
      </c>
      <c r="E11" s="2" t="s">
        <v>383</v>
      </c>
      <c r="F11" s="2" t="s">
        <v>391</v>
      </c>
      <c r="G11" s="2" t="s">
        <v>392</v>
      </c>
      <c r="H11" s="2">
        <v>2</v>
      </c>
      <c r="I11" s="2">
        <v>0</v>
      </c>
      <c r="J11" s="2">
        <v>0</v>
      </c>
      <c r="K11" s="2">
        <v>68</v>
      </c>
      <c r="L11" s="2">
        <v>1</v>
      </c>
      <c r="M11" s="2">
        <v>680</v>
      </c>
      <c r="N11" s="2">
        <v>0</v>
      </c>
    </row>
    <row r="12" spans="1:14" x14ac:dyDescent="0.15">
      <c r="A12" s="2">
        <v>8001</v>
      </c>
      <c r="B12" s="2">
        <v>9</v>
      </c>
      <c r="C12" s="2" t="s">
        <v>393</v>
      </c>
      <c r="D12" s="2" t="s">
        <v>394</v>
      </c>
      <c r="E12" s="2" t="s">
        <v>383</v>
      </c>
      <c r="F12" s="2" t="s">
        <v>395</v>
      </c>
      <c r="G12" s="2" t="s">
        <v>396</v>
      </c>
      <c r="H12" s="2">
        <v>2</v>
      </c>
      <c r="I12" s="2">
        <v>0</v>
      </c>
      <c r="J12" s="2">
        <v>0</v>
      </c>
      <c r="K12" s="2">
        <v>118</v>
      </c>
      <c r="L12" s="2">
        <v>1</v>
      </c>
      <c r="M12" s="2">
        <v>1180</v>
      </c>
      <c r="N12" s="2">
        <v>0</v>
      </c>
    </row>
    <row r="13" spans="1:14" x14ac:dyDescent="0.15">
      <c r="A13" s="2">
        <v>2005</v>
      </c>
      <c r="B13" s="2">
        <v>10</v>
      </c>
      <c r="C13" s="2" t="s">
        <v>397</v>
      </c>
      <c r="D13" s="2" t="s">
        <v>398</v>
      </c>
      <c r="E13" s="2" t="s">
        <v>383</v>
      </c>
      <c r="F13" s="2" t="s">
        <v>399</v>
      </c>
      <c r="G13" s="2" t="s">
        <v>400</v>
      </c>
      <c r="H13" s="2">
        <v>2</v>
      </c>
      <c r="I13" s="2">
        <v>0</v>
      </c>
      <c r="J13" s="2">
        <v>0</v>
      </c>
      <c r="K13" s="2">
        <v>198</v>
      </c>
      <c r="L13" s="2">
        <v>1</v>
      </c>
      <c r="M13" s="2">
        <v>1980</v>
      </c>
      <c r="N13" s="2">
        <v>0</v>
      </c>
    </row>
    <row r="14" spans="1:14" x14ac:dyDescent="0.15">
      <c r="A14" s="2">
        <v>2006</v>
      </c>
      <c r="B14" s="2">
        <v>11</v>
      </c>
      <c r="C14" s="2" t="s">
        <v>401</v>
      </c>
      <c r="D14" s="2" t="s">
        <v>402</v>
      </c>
      <c r="E14" s="2" t="s">
        <v>383</v>
      </c>
      <c r="F14" s="2" t="s">
        <v>403</v>
      </c>
      <c r="G14" s="2" t="s">
        <v>404</v>
      </c>
      <c r="H14" s="2">
        <v>2</v>
      </c>
      <c r="I14" s="2">
        <v>0</v>
      </c>
      <c r="J14" s="2">
        <v>0</v>
      </c>
      <c r="K14" s="2">
        <v>488</v>
      </c>
      <c r="L14" s="2">
        <v>1</v>
      </c>
      <c r="M14" s="2">
        <v>4880</v>
      </c>
      <c r="N14" s="2">
        <v>0</v>
      </c>
    </row>
    <row r="15" spans="1:14" x14ac:dyDescent="0.15">
      <c r="A15" s="2">
        <v>2007</v>
      </c>
      <c r="B15" s="2">
        <v>12</v>
      </c>
      <c r="C15" s="2" t="s">
        <v>405</v>
      </c>
      <c r="D15" s="2" t="s">
        <v>406</v>
      </c>
      <c r="E15" s="2" t="s">
        <v>383</v>
      </c>
      <c r="F15" s="2" t="s">
        <v>407</v>
      </c>
      <c r="G15" s="2" t="s">
        <v>408</v>
      </c>
      <c r="H15" s="2">
        <v>2</v>
      </c>
      <c r="I15" s="2">
        <v>0</v>
      </c>
      <c r="J15" s="2">
        <v>0</v>
      </c>
      <c r="K15" s="2">
        <v>648</v>
      </c>
      <c r="L15" s="2">
        <v>1</v>
      </c>
      <c r="M15" s="2">
        <v>6480</v>
      </c>
      <c r="N15" s="2">
        <v>0</v>
      </c>
    </row>
  </sheetData>
  <phoneticPr fontId="3" type="noConversion"/>
  <pageMargins left="0.75" right="0.75" top="1" bottom="1" header="0.51180555555555596" footer="0.51180555555555596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9"/>
  <sheetViews>
    <sheetView workbookViewId="0">
      <selection activeCell="D27" sqref="D27"/>
    </sheetView>
  </sheetViews>
  <sheetFormatPr defaultColWidth="9" defaultRowHeight="13.5" x14ac:dyDescent="0.15"/>
  <cols>
    <col min="1" max="1" width="5.375" style="2" customWidth="1"/>
    <col min="2" max="2" width="21.375" style="2" customWidth="1"/>
    <col min="3" max="3" width="36.375" style="2" customWidth="1"/>
    <col min="4" max="4" width="31.625" style="2" customWidth="1"/>
    <col min="5" max="16384" width="9" style="2"/>
  </cols>
  <sheetData>
    <row r="1" spans="1:4" x14ac:dyDescent="0.15">
      <c r="A1" s="2" t="s">
        <v>5</v>
      </c>
      <c r="B1" s="2" t="s">
        <v>6</v>
      </c>
      <c r="C1" s="2" t="s">
        <v>760</v>
      </c>
      <c r="D1" s="2" t="s">
        <v>7</v>
      </c>
    </row>
    <row r="2" spans="1:4" x14ac:dyDescent="0.15">
      <c r="A2" s="2" t="s">
        <v>8</v>
      </c>
      <c r="B2" s="2" t="s">
        <v>9</v>
      </c>
      <c r="C2" s="9" t="s">
        <v>761</v>
      </c>
      <c r="D2" s="2" t="s">
        <v>10</v>
      </c>
    </row>
    <row r="3" spans="1:4" x14ac:dyDescent="0.15">
      <c r="A3" s="2">
        <v>1001</v>
      </c>
      <c r="B3" s="2" t="s">
        <v>172</v>
      </c>
      <c r="C3" s="2" t="s">
        <v>762</v>
      </c>
      <c r="D3" s="2" t="s">
        <v>173</v>
      </c>
    </row>
    <row r="4" spans="1:4" x14ac:dyDescent="0.15">
      <c r="A4" s="2">
        <v>1002</v>
      </c>
      <c r="B4" s="2" t="s">
        <v>174</v>
      </c>
      <c r="C4" s="2" t="s">
        <v>762</v>
      </c>
      <c r="D4" s="2" t="s">
        <v>173</v>
      </c>
    </row>
    <row r="5" spans="1:4" x14ac:dyDescent="0.15">
      <c r="A5" s="2">
        <v>1003</v>
      </c>
      <c r="B5" s="2" t="s">
        <v>175</v>
      </c>
      <c r="C5" s="2" t="s">
        <v>762</v>
      </c>
      <c r="D5" s="2" t="s">
        <v>173</v>
      </c>
    </row>
    <row r="6" spans="1:4" x14ac:dyDescent="0.15">
      <c r="A6" s="2">
        <v>1011</v>
      </c>
      <c r="B6" s="2" t="s">
        <v>176</v>
      </c>
      <c r="C6" s="2" t="s">
        <v>762</v>
      </c>
      <c r="D6" s="2" t="s">
        <v>173</v>
      </c>
    </row>
    <row r="7" spans="1:4" x14ac:dyDescent="0.15">
      <c r="A7" s="2">
        <v>1021</v>
      </c>
      <c r="B7" s="2" t="s">
        <v>177</v>
      </c>
      <c r="C7" s="2" t="s">
        <v>762</v>
      </c>
      <c r="D7" s="2" t="s">
        <v>173</v>
      </c>
    </row>
    <row r="8" spans="1:4" x14ac:dyDescent="0.15">
      <c r="A8" s="2">
        <v>1022</v>
      </c>
      <c r="B8" s="2" t="s">
        <v>178</v>
      </c>
      <c r="C8" s="2" t="s">
        <v>762</v>
      </c>
      <c r="D8" s="2" t="s">
        <v>173</v>
      </c>
    </row>
    <row r="9" spans="1:4" x14ac:dyDescent="0.15">
      <c r="A9" s="2">
        <v>1023</v>
      </c>
      <c r="B9" s="2" t="s">
        <v>179</v>
      </c>
      <c r="C9" s="2" t="s">
        <v>762</v>
      </c>
      <c r="D9" s="2" t="s">
        <v>173</v>
      </c>
    </row>
    <row r="10" spans="1:4" x14ac:dyDescent="0.15">
      <c r="A10" s="2">
        <v>1024</v>
      </c>
      <c r="B10" s="2" t="s">
        <v>180</v>
      </c>
      <c r="C10" s="2" t="s">
        <v>762</v>
      </c>
      <c r="D10" s="2" t="s">
        <v>173</v>
      </c>
    </row>
    <row r="11" spans="1:4" x14ac:dyDescent="0.15">
      <c r="A11" s="2">
        <v>1025</v>
      </c>
      <c r="B11" s="2" t="s">
        <v>181</v>
      </c>
      <c r="C11" s="2" t="s">
        <v>762</v>
      </c>
      <c r="D11" s="2" t="s">
        <v>173</v>
      </c>
    </row>
    <row r="12" spans="1:4" x14ac:dyDescent="0.15">
      <c r="A12" s="2">
        <v>2001</v>
      </c>
      <c r="B12" s="2" t="s">
        <v>182</v>
      </c>
      <c r="C12" s="2" t="s">
        <v>762</v>
      </c>
      <c r="D12" s="2" t="s">
        <v>173</v>
      </c>
    </row>
    <row r="13" spans="1:4" x14ac:dyDescent="0.15">
      <c r="A13" s="2">
        <v>2002</v>
      </c>
      <c r="B13" s="2" t="s">
        <v>183</v>
      </c>
      <c r="C13" s="2" t="s">
        <v>762</v>
      </c>
      <c r="D13" s="2" t="s">
        <v>184</v>
      </c>
    </row>
    <row r="14" spans="1:4" x14ac:dyDescent="0.15">
      <c r="A14" s="2">
        <v>2003</v>
      </c>
      <c r="B14" s="2" t="s">
        <v>185</v>
      </c>
      <c r="C14" s="2" t="s">
        <v>762</v>
      </c>
      <c r="D14" s="2" t="s">
        <v>186</v>
      </c>
    </row>
    <row r="15" spans="1:4" x14ac:dyDescent="0.15">
      <c r="A15" s="2">
        <v>2004</v>
      </c>
      <c r="B15" s="2" t="s">
        <v>187</v>
      </c>
      <c r="C15" s="2" t="s">
        <v>762</v>
      </c>
      <c r="D15" s="2" t="s">
        <v>188</v>
      </c>
    </row>
    <row r="16" spans="1:4" x14ac:dyDescent="0.15">
      <c r="A16" s="2">
        <v>2005</v>
      </c>
      <c r="B16" s="2" t="s">
        <v>189</v>
      </c>
      <c r="C16" s="2" t="s">
        <v>762</v>
      </c>
      <c r="D16" s="2" t="s">
        <v>190</v>
      </c>
    </row>
    <row r="17" spans="1:4" x14ac:dyDescent="0.15">
      <c r="A17" s="2">
        <v>2006</v>
      </c>
      <c r="B17" s="2" t="s">
        <v>191</v>
      </c>
      <c r="C17" s="2" t="s">
        <v>762</v>
      </c>
      <c r="D17" s="2" t="s">
        <v>192</v>
      </c>
    </row>
    <row r="18" spans="1:4" x14ac:dyDescent="0.15">
      <c r="A18" s="2">
        <v>2007</v>
      </c>
      <c r="B18" s="2" t="s">
        <v>193</v>
      </c>
      <c r="C18" s="2" t="s">
        <v>762</v>
      </c>
      <c r="D18" s="2" t="s">
        <v>194</v>
      </c>
    </row>
    <row r="19" spans="1:4" x14ac:dyDescent="0.15">
      <c r="A19" s="2">
        <v>2101</v>
      </c>
      <c r="B19" s="2" t="s">
        <v>195</v>
      </c>
      <c r="C19" s="2" t="s">
        <v>762</v>
      </c>
      <c r="D19" s="2" t="s">
        <v>196</v>
      </c>
    </row>
  </sheetData>
  <phoneticPr fontId="3" type="noConversion"/>
  <pageMargins left="0.75" right="0.75" top="1" bottom="1" header="0.51180555555555596" footer="0.51180555555555596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9"/>
  <sheetViews>
    <sheetView workbookViewId="0">
      <selection activeCell="G15" sqref="G15"/>
    </sheetView>
  </sheetViews>
  <sheetFormatPr defaultColWidth="9" defaultRowHeight="13.5" x14ac:dyDescent="0.15"/>
  <cols>
    <col min="1" max="2" width="9" style="2"/>
    <col min="3" max="3" width="10.875" style="2" customWidth="1"/>
    <col min="4" max="4" width="10.375" style="2" customWidth="1"/>
    <col min="5" max="16384" width="9" style="2"/>
  </cols>
  <sheetData>
    <row r="1" spans="1:5" x14ac:dyDescent="0.15">
      <c r="A1" s="2" t="s">
        <v>5</v>
      </c>
      <c r="B1" s="9" t="s">
        <v>626</v>
      </c>
      <c r="C1" s="2" t="s">
        <v>6</v>
      </c>
      <c r="D1" s="9" t="s">
        <v>630</v>
      </c>
      <c r="E1" s="2" t="s">
        <v>7</v>
      </c>
    </row>
    <row r="2" spans="1:5" x14ac:dyDescent="0.15">
      <c r="A2" s="2" t="s">
        <v>8</v>
      </c>
      <c r="B2" s="2" t="s">
        <v>141</v>
      </c>
      <c r="C2" s="2" t="s">
        <v>9</v>
      </c>
      <c r="D2" s="9" t="s">
        <v>627</v>
      </c>
      <c r="E2" s="2" t="s">
        <v>10</v>
      </c>
    </row>
    <row r="3" spans="1:5" x14ac:dyDescent="0.15">
      <c r="A3" s="2">
        <v>1</v>
      </c>
      <c r="B3" s="2">
        <v>0</v>
      </c>
      <c r="C3" s="2" t="s">
        <v>435</v>
      </c>
      <c r="D3" s="2" t="s">
        <v>436</v>
      </c>
      <c r="E3" s="2" t="s">
        <v>144</v>
      </c>
    </row>
    <row r="4" spans="1:5" x14ac:dyDescent="0.15">
      <c r="A4" s="2">
        <v>2</v>
      </c>
      <c r="B4" s="2">
        <v>0</v>
      </c>
      <c r="C4" s="2" t="s">
        <v>437</v>
      </c>
      <c r="D4" s="2" t="s">
        <v>438</v>
      </c>
      <c r="E4" s="2" t="s">
        <v>144</v>
      </c>
    </row>
    <row r="5" spans="1:5" x14ac:dyDescent="0.15">
      <c r="A5" s="2">
        <v>3</v>
      </c>
      <c r="B5" s="2">
        <v>0</v>
      </c>
      <c r="C5" s="2" t="s">
        <v>439</v>
      </c>
      <c r="D5" s="9" t="s">
        <v>682</v>
      </c>
      <c r="E5" s="2" t="s">
        <v>144</v>
      </c>
    </row>
    <row r="6" spans="1:5" x14ac:dyDescent="0.15">
      <c r="A6" s="2">
        <v>4</v>
      </c>
      <c r="B6" s="2">
        <v>0</v>
      </c>
      <c r="C6" s="2" t="s">
        <v>440</v>
      </c>
      <c r="D6" s="2" t="s">
        <v>441</v>
      </c>
      <c r="E6" s="2" t="s">
        <v>144</v>
      </c>
    </row>
    <row r="7" spans="1:5" x14ac:dyDescent="0.15">
      <c r="A7" s="2">
        <v>5</v>
      </c>
      <c r="B7" s="2">
        <v>0</v>
      </c>
      <c r="C7" s="2" t="s">
        <v>442</v>
      </c>
      <c r="D7" s="9" t="s">
        <v>683</v>
      </c>
      <c r="E7" s="2" t="s">
        <v>144</v>
      </c>
    </row>
    <row r="8" spans="1:5" x14ac:dyDescent="0.15">
      <c r="A8" s="2">
        <v>6</v>
      </c>
      <c r="B8" s="2">
        <v>1</v>
      </c>
      <c r="C8" s="2" t="s">
        <v>443</v>
      </c>
      <c r="D8" s="2" t="s">
        <v>444</v>
      </c>
      <c r="E8" s="2" t="s">
        <v>144</v>
      </c>
    </row>
    <row r="9" spans="1:5" x14ac:dyDescent="0.15">
      <c r="A9" s="2">
        <v>7</v>
      </c>
      <c r="B9" s="2">
        <v>2</v>
      </c>
      <c r="C9" s="2" t="s">
        <v>445</v>
      </c>
      <c r="D9" s="2" t="s">
        <v>446</v>
      </c>
      <c r="E9" s="2" t="s">
        <v>144</v>
      </c>
    </row>
    <row r="10" spans="1:5" x14ac:dyDescent="0.15">
      <c r="A10" s="2">
        <v>8</v>
      </c>
      <c r="B10" s="2">
        <v>3</v>
      </c>
      <c r="C10" s="2" t="s">
        <v>447</v>
      </c>
      <c r="D10" s="2" t="s">
        <v>448</v>
      </c>
      <c r="E10" s="2" t="s">
        <v>144</v>
      </c>
    </row>
    <row r="11" spans="1:5" x14ac:dyDescent="0.15">
      <c r="A11" s="2">
        <v>9</v>
      </c>
      <c r="B11" s="2">
        <v>4</v>
      </c>
      <c r="C11" s="2" t="s">
        <v>449</v>
      </c>
      <c r="D11" s="2" t="s">
        <v>450</v>
      </c>
      <c r="E11" s="2" t="s">
        <v>144</v>
      </c>
    </row>
    <row r="12" spans="1:5" x14ac:dyDescent="0.15">
      <c r="A12" s="2">
        <v>10</v>
      </c>
      <c r="B12" s="2">
        <v>5</v>
      </c>
      <c r="C12" s="2" t="s">
        <v>451</v>
      </c>
      <c r="D12" s="2" t="s">
        <v>452</v>
      </c>
      <c r="E12" s="2" t="s">
        <v>144</v>
      </c>
    </row>
    <row r="13" spans="1:5" x14ac:dyDescent="0.15">
      <c r="A13" s="2">
        <v>11</v>
      </c>
      <c r="B13" s="2">
        <v>1</v>
      </c>
      <c r="C13" s="2" t="s">
        <v>453</v>
      </c>
      <c r="D13" s="2" t="s">
        <v>454</v>
      </c>
      <c r="E13" s="2" t="s">
        <v>144</v>
      </c>
    </row>
    <row r="14" spans="1:5" x14ac:dyDescent="0.15">
      <c r="A14" s="2">
        <v>12</v>
      </c>
      <c r="B14" s="2">
        <v>2</v>
      </c>
      <c r="C14" s="2" t="s">
        <v>455</v>
      </c>
      <c r="D14" s="2" t="s">
        <v>456</v>
      </c>
      <c r="E14" s="2" t="s">
        <v>144</v>
      </c>
    </row>
    <row r="15" spans="1:5" x14ac:dyDescent="0.15">
      <c r="A15" s="2">
        <v>13</v>
      </c>
      <c r="B15" s="2">
        <v>3</v>
      </c>
      <c r="C15" s="2" t="s">
        <v>457</v>
      </c>
      <c r="D15" s="2" t="s">
        <v>458</v>
      </c>
      <c r="E15" s="2" t="s">
        <v>144</v>
      </c>
    </row>
    <row r="16" spans="1:5" x14ac:dyDescent="0.15">
      <c r="A16" s="2">
        <v>14</v>
      </c>
      <c r="B16" s="2">
        <v>4</v>
      </c>
      <c r="C16" s="2" t="s">
        <v>459</v>
      </c>
      <c r="D16" s="2" t="s">
        <v>460</v>
      </c>
      <c r="E16" s="2" t="s">
        <v>144</v>
      </c>
    </row>
    <row r="17" spans="1:5" x14ac:dyDescent="0.15">
      <c r="A17" s="2">
        <v>15</v>
      </c>
      <c r="B17" s="2">
        <v>5</v>
      </c>
      <c r="C17" s="2" t="s">
        <v>461</v>
      </c>
      <c r="D17" s="2" t="s">
        <v>462</v>
      </c>
      <c r="E17" s="2" t="s">
        <v>144</v>
      </c>
    </row>
    <row r="18" spans="1:5" x14ac:dyDescent="0.15">
      <c r="A18" s="2">
        <v>16</v>
      </c>
      <c r="B18" s="2">
        <v>0</v>
      </c>
      <c r="C18" s="2" t="s">
        <v>463</v>
      </c>
      <c r="D18" s="2" t="s">
        <v>464</v>
      </c>
      <c r="E18" s="2" t="s">
        <v>144</v>
      </c>
    </row>
    <row r="19" spans="1:5" x14ac:dyDescent="0.15">
      <c r="A19" s="2">
        <v>17</v>
      </c>
      <c r="B19" s="2">
        <v>0</v>
      </c>
      <c r="C19" s="2" t="s">
        <v>465</v>
      </c>
      <c r="D19" s="2" t="s">
        <v>466</v>
      </c>
      <c r="E19" s="2" t="s">
        <v>144</v>
      </c>
    </row>
  </sheetData>
  <phoneticPr fontId="3" type="noConversion"/>
  <pageMargins left="0.75" right="0.75" top="1" bottom="1" header="0.51180555555555596" footer="0.5118055555555559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B44"/>
  <sheetViews>
    <sheetView tabSelected="1" topLeftCell="J1" workbookViewId="0">
      <selection activeCell="S24" sqref="S24"/>
    </sheetView>
  </sheetViews>
  <sheetFormatPr defaultColWidth="9" defaultRowHeight="13.5" x14ac:dyDescent="0.15"/>
  <cols>
    <col min="3" max="3" width="23.875" customWidth="1"/>
    <col min="4" max="5" width="27.875" customWidth="1"/>
    <col min="6" max="6" width="17" customWidth="1"/>
    <col min="7" max="7" width="19.75" customWidth="1"/>
    <col min="8" max="8" width="30.125" customWidth="1"/>
    <col min="9" max="9" width="35.875" customWidth="1"/>
    <col min="10" max="10" width="11.125" customWidth="1"/>
  </cols>
  <sheetData>
    <row r="1" spans="1:28" x14ac:dyDescent="0.15">
      <c r="A1" s="14" t="s">
        <v>5</v>
      </c>
      <c r="B1" s="14" t="s">
        <v>6</v>
      </c>
      <c r="C1" s="12" t="s">
        <v>1028</v>
      </c>
      <c r="D1" s="12" t="s">
        <v>1010</v>
      </c>
      <c r="E1" s="12" t="s">
        <v>1013</v>
      </c>
      <c r="F1" s="12" t="s">
        <v>1008</v>
      </c>
      <c r="G1" s="14" t="s">
        <v>773</v>
      </c>
      <c r="H1" s="14" t="s">
        <v>774</v>
      </c>
      <c r="I1" s="14" t="s">
        <v>775</v>
      </c>
      <c r="J1" s="14" t="s">
        <v>776</v>
      </c>
      <c r="K1" s="14" t="s">
        <v>777</v>
      </c>
      <c r="L1" s="14" t="s">
        <v>778</v>
      </c>
      <c r="M1" s="14" t="s">
        <v>779</v>
      </c>
      <c r="N1" s="14" t="s">
        <v>780</v>
      </c>
      <c r="O1" s="14" t="s">
        <v>781</v>
      </c>
      <c r="P1" s="14" t="s">
        <v>782</v>
      </c>
      <c r="Q1" s="14"/>
      <c r="R1" s="14"/>
      <c r="S1" s="14"/>
      <c r="T1" s="14"/>
      <c r="U1" s="14" t="s">
        <v>783</v>
      </c>
      <c r="V1" s="14" t="s">
        <v>784</v>
      </c>
      <c r="W1" s="14"/>
      <c r="X1" s="15" t="s">
        <v>785</v>
      </c>
      <c r="Y1" s="14" t="s">
        <v>786</v>
      </c>
      <c r="Z1" s="14" t="s">
        <v>787</v>
      </c>
      <c r="AA1" s="14" t="s">
        <v>788</v>
      </c>
      <c r="AB1" s="14" t="s">
        <v>789</v>
      </c>
    </row>
    <row r="2" spans="1:28" x14ac:dyDescent="0.15">
      <c r="A2" s="14" t="s">
        <v>8</v>
      </c>
      <c r="B2" s="14" t="s">
        <v>9</v>
      </c>
      <c r="C2" s="12" t="s">
        <v>1029</v>
      </c>
      <c r="D2" s="12" t="s">
        <v>1011</v>
      </c>
      <c r="E2" s="12" t="s">
        <v>1014</v>
      </c>
      <c r="F2" s="12" t="s">
        <v>1009</v>
      </c>
      <c r="G2" s="14" t="s">
        <v>790</v>
      </c>
      <c r="H2" s="14" t="s">
        <v>709</v>
      </c>
      <c r="I2" s="14" t="s">
        <v>791</v>
      </c>
      <c r="J2" s="14" t="s">
        <v>792</v>
      </c>
      <c r="K2" s="14" t="s">
        <v>793</v>
      </c>
      <c r="L2" s="14" t="s">
        <v>794</v>
      </c>
      <c r="M2" s="14" t="s">
        <v>795</v>
      </c>
      <c r="N2" s="14" t="s">
        <v>796</v>
      </c>
      <c r="O2" s="14" t="s">
        <v>797</v>
      </c>
      <c r="P2" s="16" t="s">
        <v>798</v>
      </c>
      <c r="Q2" s="16" t="s">
        <v>799</v>
      </c>
      <c r="R2" s="16" t="s">
        <v>800</v>
      </c>
      <c r="S2" s="16" t="s">
        <v>801</v>
      </c>
      <c r="T2" s="16" t="s">
        <v>802</v>
      </c>
      <c r="U2" s="14" t="s">
        <v>803</v>
      </c>
      <c r="V2" s="14" t="s">
        <v>804</v>
      </c>
      <c r="W2" s="14"/>
      <c r="X2" s="14" t="s">
        <v>10</v>
      </c>
      <c r="Y2" s="14" t="s">
        <v>805</v>
      </c>
      <c r="Z2" s="14" t="s">
        <v>797</v>
      </c>
      <c r="AA2" s="14" t="s">
        <v>806</v>
      </c>
      <c r="AB2" s="14" t="s">
        <v>793</v>
      </c>
    </row>
    <row r="3" spans="1:28" x14ac:dyDescent="0.15">
      <c r="A3" s="14">
        <v>1</v>
      </c>
      <c r="B3" s="14" t="s">
        <v>809</v>
      </c>
      <c r="C3" s="14"/>
      <c r="D3" s="14"/>
      <c r="E3" s="14"/>
      <c r="F3" s="14"/>
      <c r="G3" s="14" t="s">
        <v>807</v>
      </c>
      <c r="H3" s="14" t="s">
        <v>808</v>
      </c>
      <c r="I3" s="14" t="str">
        <f>"1000,"&amp;$A3&amp;","&amp;$AA$3*2</f>
        <v>1000,1,4</v>
      </c>
      <c r="J3" s="14" t="str">
        <f>"1000,"&amp;$A3&amp;","&amp;$AA$3</f>
        <v>1000,1,2</v>
      </c>
      <c r="K3" s="14">
        <f>AC3</f>
        <v>0</v>
      </c>
      <c r="L3" s="14">
        <v>100</v>
      </c>
      <c r="M3" s="14">
        <v>100</v>
      </c>
      <c r="N3" s="14">
        <f>M3*$Y$3</f>
        <v>1000</v>
      </c>
      <c r="O3" s="14">
        <v>3</v>
      </c>
      <c r="P3" s="14">
        <v>61</v>
      </c>
      <c r="Q3" s="14" t="s">
        <v>810</v>
      </c>
      <c r="R3" s="14" t="s">
        <v>811</v>
      </c>
      <c r="S3" s="14" t="s">
        <v>812</v>
      </c>
      <c r="T3" s="14" t="s">
        <v>813</v>
      </c>
      <c r="U3" s="14">
        <v>1</v>
      </c>
      <c r="V3" s="14">
        <v>1</v>
      </c>
      <c r="W3" s="14"/>
      <c r="X3" s="14"/>
      <c r="Y3" s="14">
        <v>10</v>
      </c>
      <c r="Z3" s="14">
        <v>1</v>
      </c>
      <c r="AA3" s="14">
        <v>2</v>
      </c>
      <c r="AB3" s="14">
        <v>2</v>
      </c>
    </row>
    <row r="4" spans="1:28" x14ac:dyDescent="0.15">
      <c r="A4" s="14">
        <v>2</v>
      </c>
      <c r="B4" s="14" t="s">
        <v>435</v>
      </c>
      <c r="C4" s="12" t="s">
        <v>1030</v>
      </c>
      <c r="D4" s="12" t="s">
        <v>1012</v>
      </c>
      <c r="E4" s="12" t="s">
        <v>1015</v>
      </c>
      <c r="G4" s="14" t="s">
        <v>807</v>
      </c>
      <c r="H4" s="14" t="s">
        <v>808</v>
      </c>
      <c r="I4" s="14" t="str">
        <f>"1000,"&amp;$A4&amp;","&amp;$AA$3*2</f>
        <v>1000,2,4</v>
      </c>
      <c r="J4" s="14" t="str">
        <f>"1000,"&amp;$A4&amp;","&amp;$AA$3</f>
        <v>1000,2,2</v>
      </c>
      <c r="K4" s="14">
        <f t="shared" ref="K4:K27" si="0">AC4</f>
        <v>0</v>
      </c>
      <c r="L4" s="14">
        <v>100</v>
      </c>
      <c r="M4" s="14">
        <v>100</v>
      </c>
      <c r="N4" s="14">
        <f t="shared" ref="N4:N27" si="1">M4*$Y$3</f>
        <v>1000</v>
      </c>
      <c r="O4" s="14">
        <v>3</v>
      </c>
      <c r="P4" s="14">
        <v>3</v>
      </c>
      <c r="Q4" s="14" t="s">
        <v>814</v>
      </c>
      <c r="R4" s="14" t="s">
        <v>815</v>
      </c>
      <c r="S4" s="14" t="s">
        <v>816</v>
      </c>
      <c r="T4" s="14" t="s">
        <v>817</v>
      </c>
      <c r="U4" s="14">
        <v>3</v>
      </c>
      <c r="V4" s="14">
        <v>2</v>
      </c>
      <c r="W4" s="14"/>
      <c r="X4" s="14"/>
      <c r="Y4" s="14"/>
      <c r="Z4" s="14">
        <v>2</v>
      </c>
      <c r="AA4" s="14"/>
      <c r="AB4" s="14"/>
    </row>
    <row r="5" spans="1:28" x14ac:dyDescent="0.15">
      <c r="A5" s="14">
        <v>3</v>
      </c>
      <c r="B5" s="14" t="s">
        <v>556</v>
      </c>
      <c r="C5" s="12" t="s">
        <v>1031</v>
      </c>
      <c r="D5" s="12" t="s">
        <v>1016</v>
      </c>
      <c r="E5" s="12" t="s">
        <v>1017</v>
      </c>
      <c r="G5" s="14" t="s">
        <v>807</v>
      </c>
      <c r="H5" s="14" t="s">
        <v>808</v>
      </c>
      <c r="I5" s="14" t="str">
        <f>"1000,"&amp;$A5&amp;","&amp;$AA$3*2</f>
        <v>1000,3,4</v>
      </c>
      <c r="J5" s="14" t="str">
        <f>"1000,"&amp;$A5&amp;","&amp;$AA$3</f>
        <v>1000,3,2</v>
      </c>
      <c r="K5" s="14">
        <f t="shared" si="0"/>
        <v>0</v>
      </c>
      <c r="L5" s="14">
        <v>100</v>
      </c>
      <c r="M5" s="14">
        <v>100</v>
      </c>
      <c r="N5" s="14">
        <f t="shared" si="1"/>
        <v>1000</v>
      </c>
      <c r="O5" s="14">
        <v>3</v>
      </c>
      <c r="P5" s="14">
        <v>6</v>
      </c>
      <c r="Q5" s="14" t="s">
        <v>818</v>
      </c>
      <c r="R5" s="14" t="s">
        <v>819</v>
      </c>
      <c r="S5" s="14" t="s">
        <v>820</v>
      </c>
      <c r="T5" s="14" t="s">
        <v>821</v>
      </c>
      <c r="U5" s="14">
        <v>2</v>
      </c>
      <c r="V5" s="14">
        <v>3</v>
      </c>
      <c r="W5" s="14"/>
      <c r="X5" s="14"/>
      <c r="Y5" s="14"/>
      <c r="Z5" s="14">
        <v>3</v>
      </c>
      <c r="AA5" s="14"/>
      <c r="AB5" s="14"/>
    </row>
    <row r="6" spans="1:28" x14ac:dyDescent="0.15">
      <c r="A6" s="14">
        <v>4</v>
      </c>
      <c r="B6" s="14" t="s">
        <v>465</v>
      </c>
      <c r="C6" s="12" t="s">
        <v>1032</v>
      </c>
      <c r="D6" s="12" t="s">
        <v>1020</v>
      </c>
      <c r="E6" s="12" t="s">
        <v>1021</v>
      </c>
      <c r="G6" s="14" t="s">
        <v>807</v>
      </c>
      <c r="H6" s="14" t="s">
        <v>808</v>
      </c>
      <c r="I6" s="14" t="str">
        <f>"1000,"&amp;$A6&amp;","&amp;$AA$3*2</f>
        <v>1000,4,4</v>
      </c>
      <c r="J6" s="14" t="str">
        <f>"1000,"&amp;$A6&amp;","&amp;$AA$3</f>
        <v>1000,4,2</v>
      </c>
      <c r="K6" s="14">
        <f t="shared" si="0"/>
        <v>0</v>
      </c>
      <c r="L6" s="14">
        <v>100</v>
      </c>
      <c r="M6" s="14">
        <v>100</v>
      </c>
      <c r="N6" s="14">
        <f t="shared" si="1"/>
        <v>1000</v>
      </c>
      <c r="O6" s="14">
        <v>3</v>
      </c>
      <c r="P6" s="14">
        <v>53</v>
      </c>
      <c r="Q6" s="14" t="s">
        <v>822</v>
      </c>
      <c r="R6" s="14" t="s">
        <v>823</v>
      </c>
      <c r="S6" s="14" t="s">
        <v>824</v>
      </c>
      <c r="T6" s="14" t="s">
        <v>825</v>
      </c>
      <c r="U6" s="14">
        <v>3</v>
      </c>
      <c r="V6" s="14">
        <v>3</v>
      </c>
      <c r="W6" s="14"/>
      <c r="X6" s="14"/>
      <c r="Y6" s="14"/>
      <c r="Z6" s="14">
        <v>4</v>
      </c>
      <c r="AA6" s="14"/>
      <c r="AB6" s="14"/>
    </row>
    <row r="7" spans="1:28" x14ac:dyDescent="0.15">
      <c r="A7" s="14">
        <v>5</v>
      </c>
      <c r="B7" s="14" t="s">
        <v>142</v>
      </c>
      <c r="C7" s="12" t="s">
        <v>1033</v>
      </c>
      <c r="D7" s="12" t="s">
        <v>1018</v>
      </c>
      <c r="E7" s="12" t="s">
        <v>1019</v>
      </c>
      <c r="G7" s="14" t="s">
        <v>807</v>
      </c>
      <c r="H7" s="14" t="s">
        <v>808</v>
      </c>
      <c r="I7" s="14" t="str">
        <f>"1000,"&amp;$A7&amp;","&amp;$AA$3*2</f>
        <v>1000,5,4</v>
      </c>
      <c r="J7" s="14" t="str">
        <f>"1000,"&amp;$A7&amp;","&amp;$AA$3</f>
        <v>1000,5,2</v>
      </c>
      <c r="K7" s="14">
        <f t="shared" si="0"/>
        <v>0</v>
      </c>
      <c r="L7" s="14">
        <v>100</v>
      </c>
      <c r="M7" s="14">
        <v>100</v>
      </c>
      <c r="N7" s="14">
        <f t="shared" si="1"/>
        <v>1000</v>
      </c>
      <c r="O7" s="14">
        <v>3</v>
      </c>
      <c r="P7" s="14">
        <v>1</v>
      </c>
      <c r="Q7" s="14" t="s">
        <v>826</v>
      </c>
      <c r="R7" s="14" t="s">
        <v>827</v>
      </c>
      <c r="S7" s="14" t="s">
        <v>828</v>
      </c>
      <c r="T7" s="14" t="s">
        <v>829</v>
      </c>
      <c r="U7" s="14">
        <v>1</v>
      </c>
      <c r="V7" s="14">
        <v>4</v>
      </c>
      <c r="W7" s="14"/>
      <c r="X7" s="14"/>
      <c r="Y7" s="14"/>
      <c r="Z7" s="14">
        <v>5</v>
      </c>
      <c r="AA7" s="14"/>
      <c r="AB7" s="14"/>
    </row>
    <row r="8" spans="1:28" x14ac:dyDescent="0.15">
      <c r="A8" s="14">
        <v>6</v>
      </c>
      <c r="B8" s="14" t="s">
        <v>145</v>
      </c>
      <c r="C8" s="12" t="s">
        <v>1034</v>
      </c>
      <c r="D8" s="12" t="s">
        <v>1022</v>
      </c>
      <c r="E8" s="12" t="s">
        <v>1023</v>
      </c>
      <c r="F8" s="12"/>
      <c r="G8" s="14" t="s">
        <v>807</v>
      </c>
      <c r="H8" s="14" t="s">
        <v>808</v>
      </c>
      <c r="I8" s="14" t="str">
        <f>"1000,"&amp;$A8&amp;","&amp;$AA$3*2</f>
        <v>1000,6,4</v>
      </c>
      <c r="J8" s="14" t="str">
        <f>"1000,"&amp;$A8&amp;","&amp;$AA$3</f>
        <v>1000,6,2</v>
      </c>
      <c r="K8" s="14">
        <f t="shared" si="0"/>
        <v>0</v>
      </c>
      <c r="L8" s="14">
        <v>100</v>
      </c>
      <c r="M8" s="14">
        <v>100</v>
      </c>
      <c r="N8" s="14">
        <f t="shared" si="1"/>
        <v>1000</v>
      </c>
      <c r="O8" s="14">
        <v>3</v>
      </c>
      <c r="P8" s="14">
        <v>64</v>
      </c>
      <c r="Q8" s="14" t="s">
        <v>830</v>
      </c>
      <c r="R8" s="14" t="s">
        <v>831</v>
      </c>
      <c r="S8" s="14" t="s">
        <v>832</v>
      </c>
      <c r="T8" s="14" t="s">
        <v>833</v>
      </c>
      <c r="U8" s="14">
        <v>1</v>
      </c>
      <c r="V8" s="14">
        <v>5</v>
      </c>
      <c r="W8" s="14"/>
    </row>
    <row r="9" spans="1:28" x14ac:dyDescent="0.15">
      <c r="A9" s="14">
        <v>7</v>
      </c>
      <c r="B9" s="14" t="s">
        <v>546</v>
      </c>
      <c r="C9" s="12" t="s">
        <v>1035</v>
      </c>
      <c r="D9" s="12" t="s">
        <v>1024</v>
      </c>
      <c r="E9" s="12" t="s">
        <v>1025</v>
      </c>
      <c r="F9" s="12"/>
      <c r="G9" s="14" t="s">
        <v>807</v>
      </c>
      <c r="H9" s="14" t="s">
        <v>808</v>
      </c>
      <c r="I9" s="14" t="str">
        <f>"1000,"&amp;$A9&amp;","&amp;$AA$3*2</f>
        <v>1000,7,4</v>
      </c>
      <c r="J9" s="14" t="str">
        <f>"1000,"&amp;$A9&amp;","&amp;$AA$3</f>
        <v>1000,7,2</v>
      </c>
      <c r="K9" s="14">
        <f t="shared" si="0"/>
        <v>0</v>
      </c>
      <c r="L9" s="14">
        <v>100</v>
      </c>
      <c r="M9" s="14">
        <v>100</v>
      </c>
      <c r="N9" s="14">
        <f t="shared" si="1"/>
        <v>1000</v>
      </c>
      <c r="O9" s="14">
        <v>3</v>
      </c>
      <c r="P9" s="14">
        <v>32</v>
      </c>
      <c r="Q9" s="14" t="s">
        <v>834</v>
      </c>
      <c r="R9" s="14" t="s">
        <v>835</v>
      </c>
      <c r="S9" s="14" t="s">
        <v>836</v>
      </c>
      <c r="T9" s="14" t="s">
        <v>837</v>
      </c>
      <c r="U9" s="14">
        <v>1</v>
      </c>
      <c r="V9" s="14">
        <v>2</v>
      </c>
      <c r="W9" s="14"/>
    </row>
    <row r="10" spans="1:28" x14ac:dyDescent="0.15">
      <c r="A10" s="14">
        <v>8</v>
      </c>
      <c r="B10" s="14" t="s">
        <v>147</v>
      </c>
      <c r="C10" s="12" t="s">
        <v>1036</v>
      </c>
      <c r="D10" s="12" t="s">
        <v>1026</v>
      </c>
      <c r="E10" s="12" t="s">
        <v>1027</v>
      </c>
      <c r="G10" s="14" t="s">
        <v>807</v>
      </c>
      <c r="H10" s="14" t="s">
        <v>808</v>
      </c>
      <c r="I10" s="14" t="str">
        <f>"1000,"&amp;$A10&amp;","&amp;$AA$3*2</f>
        <v>1000,8,4</v>
      </c>
      <c r="J10" s="14" t="str">
        <f>"1000,"&amp;$A10&amp;","&amp;$AA$3</f>
        <v>1000,8,2</v>
      </c>
      <c r="K10" s="14">
        <f t="shared" si="0"/>
        <v>0</v>
      </c>
      <c r="L10" s="14">
        <v>100</v>
      </c>
      <c r="M10" s="14">
        <v>100</v>
      </c>
      <c r="N10" s="14">
        <f t="shared" si="1"/>
        <v>1000</v>
      </c>
      <c r="O10" s="14">
        <v>3</v>
      </c>
      <c r="P10" s="14">
        <v>72</v>
      </c>
      <c r="Q10" s="14" t="s">
        <v>838</v>
      </c>
      <c r="R10" s="14" t="s">
        <v>839</v>
      </c>
      <c r="S10" s="14" t="s">
        <v>840</v>
      </c>
      <c r="T10" s="14" t="s">
        <v>841</v>
      </c>
      <c r="U10" s="14">
        <v>2</v>
      </c>
      <c r="V10" s="14">
        <v>4</v>
      </c>
      <c r="W10" s="14"/>
    </row>
    <row r="11" spans="1:28" x14ac:dyDescent="0.15">
      <c r="A11" s="14">
        <v>9</v>
      </c>
      <c r="B11" s="14" t="s">
        <v>467</v>
      </c>
      <c r="C11" s="14" t="s">
        <v>1037</v>
      </c>
      <c r="D11" s="14" t="s">
        <v>856</v>
      </c>
      <c r="E11" s="14" t="s">
        <v>856</v>
      </c>
      <c r="F11" s="14"/>
      <c r="G11" s="14" t="s">
        <v>807</v>
      </c>
      <c r="H11" s="14" t="s">
        <v>808</v>
      </c>
      <c r="I11" s="14" t="str">
        <f>"1000,"&amp;$A11&amp;","&amp;$AA$3*2</f>
        <v>1000,9,4</v>
      </c>
      <c r="J11" s="14" t="str">
        <f>"1000,"&amp;$A11&amp;","&amp;$AA$3</f>
        <v>1000,9,2</v>
      </c>
      <c r="K11" s="14">
        <f t="shared" si="0"/>
        <v>0</v>
      </c>
      <c r="L11" s="14">
        <v>100</v>
      </c>
      <c r="M11" s="14">
        <v>100</v>
      </c>
      <c r="N11" s="14">
        <f t="shared" si="1"/>
        <v>1000</v>
      </c>
      <c r="O11" s="14">
        <v>3</v>
      </c>
      <c r="P11" s="14">
        <v>65</v>
      </c>
      <c r="Q11" s="14" t="s">
        <v>842</v>
      </c>
      <c r="R11" s="14" t="s">
        <v>843</v>
      </c>
      <c r="S11" s="14" t="s">
        <v>844</v>
      </c>
      <c r="T11" s="14" t="s">
        <v>845</v>
      </c>
      <c r="U11" s="14">
        <v>2</v>
      </c>
      <c r="V11" s="14">
        <v>1</v>
      </c>
      <c r="W11" s="14"/>
    </row>
    <row r="12" spans="1:28" x14ac:dyDescent="0.15">
      <c r="A12" s="14">
        <v>10</v>
      </c>
      <c r="B12" s="14" t="s">
        <v>425</v>
      </c>
      <c r="C12" s="14" t="s">
        <v>1038</v>
      </c>
      <c r="D12" s="14" t="s">
        <v>857</v>
      </c>
      <c r="E12" s="14" t="s">
        <v>857</v>
      </c>
      <c r="F12" s="14"/>
      <c r="G12" s="14" t="s">
        <v>807</v>
      </c>
      <c r="H12" s="14" t="s">
        <v>808</v>
      </c>
      <c r="I12" s="14" t="str">
        <f>"1000,"&amp;$A12&amp;","&amp;$AA$3*2</f>
        <v>1000,10,4</v>
      </c>
      <c r="J12" s="14" t="str">
        <f>"1000,"&amp;$A12&amp;","&amp;$AA$3</f>
        <v>1000,10,2</v>
      </c>
      <c r="K12" s="14">
        <f t="shared" si="0"/>
        <v>0</v>
      </c>
      <c r="L12" s="14">
        <v>100</v>
      </c>
      <c r="M12" s="14">
        <v>100</v>
      </c>
      <c r="N12" s="14">
        <f t="shared" si="1"/>
        <v>1000</v>
      </c>
      <c r="O12" s="14">
        <v>3</v>
      </c>
      <c r="P12" s="14">
        <v>49</v>
      </c>
      <c r="Q12" s="14" t="s">
        <v>846</v>
      </c>
      <c r="R12" s="14" t="s">
        <v>847</v>
      </c>
      <c r="S12" s="14" t="s">
        <v>848</v>
      </c>
      <c r="T12" s="14" t="s">
        <v>849</v>
      </c>
      <c r="U12" s="14">
        <v>3</v>
      </c>
      <c r="V12" s="14">
        <v>5</v>
      </c>
      <c r="W12" s="14"/>
    </row>
    <row r="13" spans="1:28" x14ac:dyDescent="0.15">
      <c r="A13" s="14">
        <v>11</v>
      </c>
      <c r="B13" s="14" t="s">
        <v>850</v>
      </c>
      <c r="C13" s="14"/>
      <c r="D13" s="14"/>
      <c r="E13" s="14"/>
      <c r="F13" s="14"/>
      <c r="G13" s="14" t="s">
        <v>807</v>
      </c>
      <c r="H13" s="14" t="s">
        <v>808</v>
      </c>
      <c r="I13" s="14" t="str">
        <f>"1000,"&amp;$A13&amp;","&amp;$AA$3*2</f>
        <v>1000,11,4</v>
      </c>
      <c r="J13" s="14" t="str">
        <f>"1000,"&amp;$A13&amp;","&amp;$AA$3</f>
        <v>1000,11,2</v>
      </c>
      <c r="K13" s="14">
        <f t="shared" si="0"/>
        <v>0</v>
      </c>
      <c r="L13" s="14">
        <v>100</v>
      </c>
      <c r="M13" s="14">
        <v>100</v>
      </c>
      <c r="N13" s="14">
        <f t="shared" si="1"/>
        <v>1000</v>
      </c>
      <c r="O13" s="14">
        <v>3</v>
      </c>
      <c r="P13" s="14">
        <v>45</v>
      </c>
      <c r="Q13" s="14">
        <v>45</v>
      </c>
      <c r="R13" s="14">
        <v>45</v>
      </c>
      <c r="S13" s="14">
        <v>45</v>
      </c>
      <c r="T13" s="14">
        <v>45</v>
      </c>
      <c r="U13" s="14">
        <v>0</v>
      </c>
      <c r="V13" s="14">
        <v>4</v>
      </c>
      <c r="W13" s="14"/>
    </row>
    <row r="14" spans="1:28" x14ac:dyDescent="0.15">
      <c r="A14" s="14">
        <v>12</v>
      </c>
      <c r="B14" s="14" t="s">
        <v>851</v>
      </c>
      <c r="C14" s="11"/>
      <c r="D14" s="11"/>
      <c r="E14" s="11"/>
      <c r="F14" s="14"/>
      <c r="G14" s="14" t="s">
        <v>807</v>
      </c>
      <c r="H14" s="14" t="s">
        <v>808</v>
      </c>
      <c r="I14" s="14" t="str">
        <f>"1000,"&amp;$A14&amp;","&amp;$AA$3*2</f>
        <v>1000,12,4</v>
      </c>
      <c r="J14" s="14" t="str">
        <f>"1000,"&amp;$A14&amp;","&amp;$AA$3</f>
        <v>1000,12,2</v>
      </c>
      <c r="K14" s="14">
        <f t="shared" si="0"/>
        <v>0</v>
      </c>
      <c r="L14" s="14">
        <v>100</v>
      </c>
      <c r="M14" s="14">
        <v>100</v>
      </c>
      <c r="N14" s="14">
        <f t="shared" si="1"/>
        <v>1000</v>
      </c>
      <c r="O14" s="14">
        <v>3</v>
      </c>
      <c r="P14" s="14">
        <v>47</v>
      </c>
      <c r="Q14" s="14">
        <v>47</v>
      </c>
      <c r="R14" s="14">
        <v>47</v>
      </c>
      <c r="S14" s="14">
        <v>47</v>
      </c>
      <c r="T14" s="14">
        <v>47</v>
      </c>
      <c r="U14" s="14">
        <v>0</v>
      </c>
      <c r="V14" s="14">
        <v>3</v>
      </c>
      <c r="W14" s="14"/>
    </row>
    <row r="15" spans="1:28" x14ac:dyDescent="0.15">
      <c r="A15" s="14">
        <v>13</v>
      </c>
      <c r="B15" s="14" t="s">
        <v>227</v>
      </c>
      <c r="C15" s="11" t="s">
        <v>1039</v>
      </c>
      <c r="D15" s="11" t="s">
        <v>858</v>
      </c>
      <c r="E15" s="11" t="s">
        <v>858</v>
      </c>
      <c r="F15" s="11"/>
      <c r="G15" s="14" t="s">
        <v>807</v>
      </c>
      <c r="H15" s="14" t="s">
        <v>808</v>
      </c>
      <c r="I15" s="14" t="str">
        <f>"1000,"&amp;$A15&amp;","&amp;$AA$3*2</f>
        <v>1000,13,4</v>
      </c>
      <c r="J15" s="14" t="str">
        <f>"1000,"&amp;$A15&amp;","&amp;$AA$3</f>
        <v>1000,13,2</v>
      </c>
      <c r="K15" s="14">
        <f t="shared" si="0"/>
        <v>0</v>
      </c>
      <c r="L15" s="14">
        <v>100</v>
      </c>
      <c r="M15" s="14">
        <v>100</v>
      </c>
      <c r="N15" s="14">
        <f t="shared" si="1"/>
        <v>1000</v>
      </c>
      <c r="O15" s="14">
        <v>3</v>
      </c>
      <c r="P15" s="14">
        <v>75</v>
      </c>
      <c r="Q15" s="14">
        <v>75</v>
      </c>
      <c r="R15" s="14">
        <v>75</v>
      </c>
      <c r="S15" s="14">
        <v>75</v>
      </c>
      <c r="T15" s="14">
        <v>75</v>
      </c>
      <c r="U15" s="14">
        <v>0</v>
      </c>
      <c r="V15" s="14">
        <v>5</v>
      </c>
      <c r="W15" s="14"/>
    </row>
    <row r="16" spans="1:28" x14ac:dyDescent="0.15">
      <c r="A16" s="14">
        <v>14</v>
      </c>
      <c r="B16" s="14" t="s">
        <v>231</v>
      </c>
      <c r="C16" s="11" t="s">
        <v>1040</v>
      </c>
      <c r="D16" s="11" t="s">
        <v>859</v>
      </c>
      <c r="E16" s="11" t="s">
        <v>859</v>
      </c>
      <c r="F16" s="11"/>
      <c r="G16" s="14" t="s">
        <v>807</v>
      </c>
      <c r="H16" s="14" t="s">
        <v>808</v>
      </c>
      <c r="I16" s="14" t="str">
        <f>"1000,"&amp;$A16&amp;","&amp;$AA$3*2</f>
        <v>1000,14,4</v>
      </c>
      <c r="J16" s="14" t="str">
        <f>"1000,"&amp;$A16&amp;","&amp;$AA$3</f>
        <v>1000,14,2</v>
      </c>
      <c r="K16" s="14">
        <f t="shared" si="0"/>
        <v>0</v>
      </c>
      <c r="L16" s="14">
        <v>100</v>
      </c>
      <c r="M16" s="14">
        <v>100</v>
      </c>
      <c r="N16" s="14">
        <f t="shared" si="1"/>
        <v>1000</v>
      </c>
      <c r="O16" s="14">
        <v>3</v>
      </c>
      <c r="P16" s="14">
        <v>76</v>
      </c>
      <c r="Q16" s="14">
        <v>76</v>
      </c>
      <c r="R16" s="14">
        <v>76</v>
      </c>
      <c r="S16" s="14">
        <v>76</v>
      </c>
      <c r="T16" s="14">
        <v>76</v>
      </c>
      <c r="U16" s="14">
        <v>0</v>
      </c>
      <c r="V16" s="14">
        <v>4</v>
      </c>
      <c r="W16" s="14"/>
    </row>
    <row r="17" spans="1:23" x14ac:dyDescent="0.15">
      <c r="A17" s="14">
        <v>15</v>
      </c>
      <c r="B17" s="14" t="s">
        <v>248</v>
      </c>
      <c r="C17" s="11" t="s">
        <v>1041</v>
      </c>
      <c r="D17" s="11" t="s">
        <v>860</v>
      </c>
      <c r="E17" s="11" t="s">
        <v>860</v>
      </c>
      <c r="F17" s="11"/>
      <c r="G17" s="14" t="s">
        <v>807</v>
      </c>
      <c r="H17" s="14" t="s">
        <v>808</v>
      </c>
      <c r="I17" s="14" t="str">
        <f>"1000,"&amp;$A17&amp;","&amp;$AA$3*2</f>
        <v>1000,15,4</v>
      </c>
      <c r="J17" s="14" t="str">
        <f>"1000,"&amp;$A17&amp;","&amp;$AA$3</f>
        <v>1000,15,2</v>
      </c>
      <c r="K17" s="14">
        <f t="shared" si="0"/>
        <v>0</v>
      </c>
      <c r="L17" s="14">
        <v>100</v>
      </c>
      <c r="M17" s="14">
        <v>100</v>
      </c>
      <c r="N17" s="14">
        <f t="shared" si="1"/>
        <v>1000</v>
      </c>
      <c r="O17" s="14">
        <v>3</v>
      </c>
      <c r="P17" s="14">
        <v>77</v>
      </c>
      <c r="Q17" s="14">
        <v>77</v>
      </c>
      <c r="R17" s="14">
        <v>77</v>
      </c>
      <c r="S17" s="14">
        <v>77</v>
      </c>
      <c r="T17" s="14">
        <v>77</v>
      </c>
      <c r="U17" s="14">
        <v>0</v>
      </c>
      <c r="V17" s="14">
        <v>1</v>
      </c>
      <c r="W17" s="14"/>
    </row>
    <row r="18" spans="1:23" s="14" customFormat="1" x14ac:dyDescent="0.15">
      <c r="A18" s="14">
        <v>16</v>
      </c>
      <c r="B18" s="14" t="s">
        <v>203</v>
      </c>
      <c r="C18" s="11" t="s">
        <v>1042</v>
      </c>
      <c r="D18" s="11" t="s">
        <v>861</v>
      </c>
      <c r="E18" s="11" t="s">
        <v>861</v>
      </c>
      <c r="F18" s="11"/>
      <c r="G18" s="14" t="s">
        <v>807</v>
      </c>
      <c r="H18" s="14" t="s">
        <v>808</v>
      </c>
      <c r="I18" s="14" t="str">
        <f>"1000,"&amp;$A18&amp;","&amp;$AA$3*2</f>
        <v>1000,16,4</v>
      </c>
      <c r="J18" s="14" t="str">
        <f>"1000,"&amp;$A18&amp;","&amp;$AA$3</f>
        <v>1000,16,2</v>
      </c>
      <c r="K18" s="14">
        <f t="shared" si="0"/>
        <v>0</v>
      </c>
      <c r="L18" s="14">
        <v>100</v>
      </c>
      <c r="M18" s="14">
        <v>100</v>
      </c>
      <c r="N18" s="14">
        <f t="shared" si="1"/>
        <v>1000</v>
      </c>
      <c r="O18" s="14">
        <v>3</v>
      </c>
      <c r="P18" s="14">
        <v>78</v>
      </c>
      <c r="Q18" s="14">
        <v>78</v>
      </c>
      <c r="R18" s="14">
        <v>78</v>
      </c>
      <c r="S18" s="14">
        <v>78</v>
      </c>
      <c r="T18" s="14">
        <v>78</v>
      </c>
      <c r="U18" s="14">
        <v>0</v>
      </c>
      <c r="V18" s="14">
        <v>1</v>
      </c>
    </row>
    <row r="19" spans="1:23" s="14" customFormat="1" x14ac:dyDescent="0.15">
      <c r="A19" s="14">
        <v>17</v>
      </c>
      <c r="B19" s="14" t="s">
        <v>215</v>
      </c>
      <c r="C19" s="11" t="s">
        <v>1043</v>
      </c>
      <c r="D19" s="11" t="s">
        <v>862</v>
      </c>
      <c r="E19" s="11" t="s">
        <v>862</v>
      </c>
      <c r="F19" s="11"/>
      <c r="G19" s="14" t="s">
        <v>807</v>
      </c>
      <c r="H19" s="14" t="s">
        <v>808</v>
      </c>
      <c r="I19" s="14" t="str">
        <f>"1000,"&amp;$A19&amp;","&amp;$AA$3*2</f>
        <v>1000,17,4</v>
      </c>
      <c r="J19" s="14" t="str">
        <f>"1000,"&amp;$A19&amp;","&amp;$AA$3</f>
        <v>1000,17,2</v>
      </c>
      <c r="K19" s="14">
        <f t="shared" si="0"/>
        <v>0</v>
      </c>
      <c r="L19" s="14">
        <v>100</v>
      </c>
      <c r="M19" s="14">
        <v>100</v>
      </c>
      <c r="N19" s="14">
        <f t="shared" si="1"/>
        <v>1000</v>
      </c>
      <c r="O19" s="14">
        <v>3</v>
      </c>
      <c r="P19" s="14">
        <v>79</v>
      </c>
      <c r="Q19" s="14">
        <v>79</v>
      </c>
      <c r="R19" s="14">
        <v>79</v>
      </c>
      <c r="S19" s="14">
        <v>79</v>
      </c>
      <c r="T19" s="14">
        <v>79</v>
      </c>
      <c r="U19" s="14">
        <v>0</v>
      </c>
      <c r="V19" s="14">
        <v>4</v>
      </c>
    </row>
    <row r="20" spans="1:23" s="14" customFormat="1" x14ac:dyDescent="0.15">
      <c r="A20" s="14">
        <v>18</v>
      </c>
      <c r="B20" s="14" t="s">
        <v>207</v>
      </c>
      <c r="C20" s="11" t="s">
        <v>1044</v>
      </c>
      <c r="D20" s="11" t="s">
        <v>863</v>
      </c>
      <c r="E20" s="11" t="s">
        <v>863</v>
      </c>
      <c r="F20" s="11"/>
      <c r="G20" s="14" t="s">
        <v>807</v>
      </c>
      <c r="H20" s="14" t="s">
        <v>808</v>
      </c>
      <c r="I20" s="14" t="str">
        <f>"1000,"&amp;$A20&amp;","&amp;$AA$3*2</f>
        <v>1000,18,4</v>
      </c>
      <c r="J20" s="14" t="str">
        <f>"1000,"&amp;$A20&amp;","&amp;$AA$3</f>
        <v>1000,18,2</v>
      </c>
      <c r="K20" s="14">
        <f t="shared" si="0"/>
        <v>0</v>
      </c>
      <c r="L20" s="14">
        <v>100</v>
      </c>
      <c r="M20" s="14">
        <v>100</v>
      </c>
      <c r="N20" s="14">
        <f t="shared" si="1"/>
        <v>1000</v>
      </c>
      <c r="O20" s="14">
        <v>3</v>
      </c>
      <c r="P20" s="14">
        <v>39</v>
      </c>
      <c r="Q20" s="14">
        <v>39</v>
      </c>
      <c r="R20" s="14">
        <v>39</v>
      </c>
      <c r="S20" s="14">
        <v>39</v>
      </c>
      <c r="T20" s="14">
        <v>39</v>
      </c>
      <c r="U20" s="14">
        <v>0</v>
      </c>
      <c r="V20" s="14">
        <v>2</v>
      </c>
    </row>
    <row r="21" spans="1:23" s="14" customFormat="1" x14ac:dyDescent="0.15">
      <c r="A21" s="14">
        <v>19</v>
      </c>
      <c r="B21" s="14" t="s">
        <v>219</v>
      </c>
      <c r="C21" s="11" t="s">
        <v>1045</v>
      </c>
      <c r="D21" s="11" t="s">
        <v>864</v>
      </c>
      <c r="E21" s="11" t="s">
        <v>864</v>
      </c>
      <c r="F21" s="11"/>
      <c r="G21" s="14" t="s">
        <v>807</v>
      </c>
      <c r="H21" s="14" t="s">
        <v>808</v>
      </c>
      <c r="I21" s="14" t="str">
        <f>"1000,"&amp;$A21&amp;","&amp;$AA$3*2</f>
        <v>1000,19,4</v>
      </c>
      <c r="J21" s="14" t="str">
        <f>"1000,"&amp;$A21&amp;","&amp;$AA$3</f>
        <v>1000,19,2</v>
      </c>
      <c r="K21" s="14">
        <f t="shared" si="0"/>
        <v>0</v>
      </c>
      <c r="L21" s="14">
        <v>100</v>
      </c>
      <c r="M21" s="14">
        <v>100</v>
      </c>
      <c r="N21" s="14">
        <f t="shared" si="1"/>
        <v>1000</v>
      </c>
      <c r="O21" s="14">
        <v>3</v>
      </c>
      <c r="P21" s="14">
        <v>80</v>
      </c>
      <c r="Q21" s="14">
        <v>80</v>
      </c>
      <c r="R21" s="14">
        <v>80</v>
      </c>
      <c r="S21" s="14">
        <v>80</v>
      </c>
      <c r="T21" s="14">
        <v>80</v>
      </c>
      <c r="U21" s="14">
        <v>0</v>
      </c>
      <c r="V21" s="14">
        <v>1</v>
      </c>
    </row>
    <row r="22" spans="1:23" s="14" customFormat="1" x14ac:dyDescent="0.15">
      <c r="A22" s="14">
        <v>20</v>
      </c>
      <c r="B22" s="14" t="s">
        <v>211</v>
      </c>
      <c r="C22" s="11" t="s">
        <v>1046</v>
      </c>
      <c r="D22" s="11" t="s">
        <v>865</v>
      </c>
      <c r="E22" s="11" t="s">
        <v>865</v>
      </c>
      <c r="F22" s="11"/>
      <c r="G22" s="14" t="s">
        <v>807</v>
      </c>
      <c r="H22" s="14" t="s">
        <v>808</v>
      </c>
      <c r="I22" s="14" t="str">
        <f>"1000,"&amp;$A22&amp;","&amp;$AA$3*2</f>
        <v>1000,20,4</v>
      </c>
      <c r="J22" s="14" t="str">
        <f>"1000,"&amp;$A22&amp;","&amp;$AA$3</f>
        <v>1000,20,2</v>
      </c>
      <c r="K22" s="14">
        <f t="shared" si="0"/>
        <v>0</v>
      </c>
      <c r="L22" s="14">
        <v>100</v>
      </c>
      <c r="M22" s="14">
        <v>100</v>
      </c>
      <c r="N22" s="14">
        <f t="shared" si="1"/>
        <v>1000</v>
      </c>
      <c r="O22" s="14">
        <v>3</v>
      </c>
      <c r="P22" s="14">
        <v>81</v>
      </c>
      <c r="Q22" s="14">
        <v>81</v>
      </c>
      <c r="R22" s="14">
        <v>81</v>
      </c>
      <c r="S22" s="14">
        <v>81</v>
      </c>
      <c r="T22" s="14">
        <v>81</v>
      </c>
      <c r="U22" s="14">
        <v>0</v>
      </c>
      <c r="V22" s="14">
        <v>5</v>
      </c>
    </row>
    <row r="23" spans="1:23" s="14" customFormat="1" x14ac:dyDescent="0.15">
      <c r="A23" s="14">
        <v>21</v>
      </c>
      <c r="B23" s="14" t="s">
        <v>852</v>
      </c>
      <c r="C23" s="11" t="s">
        <v>1049</v>
      </c>
      <c r="D23" s="11" t="s">
        <v>866</v>
      </c>
      <c r="E23" s="11" t="s">
        <v>866</v>
      </c>
      <c r="F23" s="11"/>
      <c r="G23" s="14" t="s">
        <v>807</v>
      </c>
      <c r="H23" s="14" t="s">
        <v>808</v>
      </c>
      <c r="I23" s="14" t="str">
        <f>"1000,"&amp;$A23&amp;","&amp;$AA$3*2</f>
        <v>1000,21,4</v>
      </c>
      <c r="J23" s="14" t="str">
        <f>"1000,"&amp;$A23&amp;","&amp;$AA$3</f>
        <v>1000,21,2</v>
      </c>
      <c r="K23" s="14">
        <f t="shared" si="0"/>
        <v>0</v>
      </c>
      <c r="L23" s="14">
        <v>100</v>
      </c>
      <c r="M23" s="14">
        <v>100</v>
      </c>
      <c r="N23" s="14">
        <f t="shared" si="1"/>
        <v>1000</v>
      </c>
      <c r="O23" s="14">
        <v>3</v>
      </c>
      <c r="P23" s="14">
        <v>82</v>
      </c>
      <c r="Q23" s="14">
        <v>82</v>
      </c>
      <c r="R23" s="14">
        <v>82</v>
      </c>
      <c r="S23" s="14">
        <v>82</v>
      </c>
      <c r="T23" s="14">
        <v>82</v>
      </c>
      <c r="U23" s="14">
        <v>0</v>
      </c>
      <c r="V23" s="14">
        <v>3</v>
      </c>
    </row>
    <row r="24" spans="1:23" s="14" customFormat="1" x14ac:dyDescent="0.15">
      <c r="A24" s="14">
        <v>22</v>
      </c>
      <c r="B24" s="14" t="s">
        <v>853</v>
      </c>
      <c r="C24" s="11"/>
      <c r="D24" s="11"/>
      <c r="E24" s="11"/>
      <c r="G24" s="14" t="s">
        <v>807</v>
      </c>
      <c r="H24" s="14" t="s">
        <v>808</v>
      </c>
      <c r="I24" s="14" t="str">
        <f>"1000,"&amp;$A24&amp;","&amp;$AA$3*2</f>
        <v>1000,22,4</v>
      </c>
      <c r="J24" s="14" t="str">
        <f>"1000,"&amp;$A24&amp;","&amp;$AA$3</f>
        <v>1000,22,2</v>
      </c>
      <c r="K24" s="14">
        <f t="shared" si="0"/>
        <v>0</v>
      </c>
      <c r="L24" s="14">
        <v>100</v>
      </c>
      <c r="M24" s="14">
        <v>100</v>
      </c>
      <c r="N24" s="14">
        <f t="shared" si="1"/>
        <v>1000</v>
      </c>
      <c r="O24" s="14">
        <v>3</v>
      </c>
      <c r="P24" s="14">
        <v>83</v>
      </c>
      <c r="Q24" s="14">
        <v>83</v>
      </c>
      <c r="R24" s="14">
        <v>83</v>
      </c>
      <c r="S24" s="14">
        <v>83</v>
      </c>
      <c r="T24" s="14">
        <v>83</v>
      </c>
      <c r="U24" s="14">
        <v>0</v>
      </c>
      <c r="V24" s="14">
        <v>3</v>
      </c>
    </row>
    <row r="25" spans="1:23" s="14" customFormat="1" x14ac:dyDescent="0.15">
      <c r="A25" s="14">
        <v>23</v>
      </c>
      <c r="B25" s="14" t="s">
        <v>854</v>
      </c>
      <c r="C25" s="11"/>
      <c r="D25" s="11"/>
      <c r="E25" s="11"/>
      <c r="G25" s="14" t="s">
        <v>807</v>
      </c>
      <c r="H25" s="14" t="s">
        <v>808</v>
      </c>
      <c r="I25" s="14" t="str">
        <f>"1000,"&amp;$A25&amp;","&amp;$AA$3*2</f>
        <v>1000,23,4</v>
      </c>
      <c r="J25" s="14" t="str">
        <f>"1000,"&amp;$A25&amp;","&amp;$AA$3</f>
        <v>1000,23,2</v>
      </c>
      <c r="K25" s="14">
        <f t="shared" si="0"/>
        <v>0</v>
      </c>
      <c r="L25" s="14">
        <v>100</v>
      </c>
      <c r="M25" s="14">
        <v>100</v>
      </c>
      <c r="N25" s="14">
        <f t="shared" si="1"/>
        <v>1000</v>
      </c>
      <c r="O25" s="14">
        <v>3</v>
      </c>
      <c r="P25" s="14">
        <v>84</v>
      </c>
      <c r="Q25" s="14">
        <v>84</v>
      </c>
      <c r="R25" s="14">
        <v>84</v>
      </c>
      <c r="S25" s="14">
        <v>84</v>
      </c>
      <c r="T25" s="14">
        <v>84</v>
      </c>
      <c r="U25" s="14">
        <v>0</v>
      </c>
      <c r="V25" s="14">
        <v>2</v>
      </c>
    </row>
    <row r="26" spans="1:23" s="14" customFormat="1" x14ac:dyDescent="0.15">
      <c r="A26" s="14">
        <v>24</v>
      </c>
      <c r="B26" s="14" t="s">
        <v>268</v>
      </c>
      <c r="C26" s="11" t="s">
        <v>1047</v>
      </c>
      <c r="D26" s="11" t="s">
        <v>1048</v>
      </c>
      <c r="E26" s="11" t="s">
        <v>1048</v>
      </c>
      <c r="G26" s="14" t="s">
        <v>807</v>
      </c>
      <c r="H26" s="14" t="s">
        <v>808</v>
      </c>
      <c r="I26" s="14" t="str">
        <f>"1000,"&amp;$A26&amp;","&amp;$AA$3*2</f>
        <v>1000,24,4</v>
      </c>
      <c r="J26" s="14" t="str">
        <f>"1000,"&amp;$A26&amp;","&amp;$AA$3</f>
        <v>1000,24,2</v>
      </c>
      <c r="K26" s="14">
        <f t="shared" si="0"/>
        <v>0</v>
      </c>
      <c r="L26" s="14">
        <v>100</v>
      </c>
      <c r="M26" s="14">
        <v>100</v>
      </c>
      <c r="N26" s="14">
        <f t="shared" si="1"/>
        <v>1000</v>
      </c>
      <c r="O26" s="14">
        <v>3</v>
      </c>
      <c r="P26" s="14">
        <v>85</v>
      </c>
      <c r="Q26" s="14">
        <v>85</v>
      </c>
      <c r="R26" s="14">
        <v>85</v>
      </c>
      <c r="S26" s="14">
        <v>85</v>
      </c>
      <c r="T26" s="14">
        <v>85</v>
      </c>
      <c r="U26" s="14">
        <v>0</v>
      </c>
      <c r="V26" s="14">
        <v>2</v>
      </c>
    </row>
    <row r="27" spans="1:23" s="14" customFormat="1" x14ac:dyDescent="0.15">
      <c r="A27" s="14">
        <v>25</v>
      </c>
      <c r="B27" s="14" t="s">
        <v>855</v>
      </c>
      <c r="C27" s="11"/>
      <c r="D27" s="11"/>
      <c r="E27" s="11"/>
      <c r="G27" s="14" t="s">
        <v>807</v>
      </c>
      <c r="H27" s="14" t="s">
        <v>808</v>
      </c>
      <c r="I27" s="14" t="str">
        <f>"1000,"&amp;$A27&amp;","&amp;$AA$3*2</f>
        <v>1000,25,4</v>
      </c>
      <c r="J27" s="14" t="str">
        <f>"1000,"&amp;$A27&amp;","&amp;$AA$3</f>
        <v>1000,25,2</v>
      </c>
      <c r="K27" s="14">
        <f t="shared" si="0"/>
        <v>0</v>
      </c>
      <c r="L27" s="14">
        <v>100</v>
      </c>
      <c r="M27" s="14">
        <v>100</v>
      </c>
      <c r="N27" s="14">
        <f t="shared" si="1"/>
        <v>1000</v>
      </c>
      <c r="O27" s="14">
        <v>3</v>
      </c>
      <c r="P27" s="14">
        <v>86</v>
      </c>
      <c r="Q27" s="14">
        <v>86</v>
      </c>
      <c r="R27" s="14">
        <v>86</v>
      </c>
      <c r="S27" s="14">
        <v>86</v>
      </c>
      <c r="T27" s="14">
        <v>86</v>
      </c>
      <c r="U27" s="14">
        <v>0</v>
      </c>
      <c r="V27" s="14">
        <v>3</v>
      </c>
    </row>
    <row r="28" spans="1:23" s="14" customForma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3" s="14" customForma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3" s="14" customForma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3" s="14" customForma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3" s="14" customForma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s="14" customForma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s="14" customForma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s="14" customForma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s="14" customForma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s="14" customForma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s="14" customForma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s="14" customForma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s="14" customForma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" customForma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" customForma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" customForma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s="14" customForma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</sheetData>
  <phoneticPr fontId="3" type="noConversion"/>
  <dataValidations count="1">
    <dataValidation type="list" allowBlank="1" showInputMessage="1" showErrorMessage="1" sqref="O3:O27">
      <formula1>$Z$3:$Z$7</formula1>
    </dataValidation>
  </dataValidations>
  <pageMargins left="0.75" right="0.75" top="1" bottom="1" header="0.51180555555555596" footer="0.5118055555555559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5"/>
  <sheetViews>
    <sheetView workbookViewId="0"/>
  </sheetViews>
  <sheetFormatPr defaultRowHeight="13.5" x14ac:dyDescent="0.15"/>
  <cols>
    <col min="5" max="5" width="39.5" customWidth="1"/>
  </cols>
  <sheetData>
    <row r="1" spans="1:5" x14ac:dyDescent="0.15">
      <c r="A1" s="15" t="s">
        <v>5</v>
      </c>
      <c r="B1" s="15" t="s">
        <v>867</v>
      </c>
      <c r="C1" s="15" t="s">
        <v>6</v>
      </c>
      <c r="D1" s="15" t="s">
        <v>784</v>
      </c>
      <c r="E1" s="15" t="s">
        <v>868</v>
      </c>
    </row>
    <row r="2" spans="1:5" x14ac:dyDescent="0.15">
      <c r="A2" s="14" t="s">
        <v>8</v>
      </c>
      <c r="B2" s="14" t="s">
        <v>869</v>
      </c>
      <c r="C2" s="14" t="s">
        <v>9</v>
      </c>
      <c r="D2" s="14" t="s">
        <v>804</v>
      </c>
      <c r="E2" s="14" t="s">
        <v>10</v>
      </c>
    </row>
    <row r="3" spans="1:5" x14ac:dyDescent="0.15">
      <c r="A3" s="14">
        <v>1</v>
      </c>
      <c r="B3" s="14">
        <v>0</v>
      </c>
      <c r="C3" s="14" t="s">
        <v>870</v>
      </c>
      <c r="D3" s="14">
        <v>0</v>
      </c>
      <c r="E3" s="14" t="s">
        <v>871</v>
      </c>
    </row>
    <row r="4" spans="1:5" x14ac:dyDescent="0.15">
      <c r="A4" s="14">
        <v>2</v>
      </c>
      <c r="B4" s="14">
        <v>0</v>
      </c>
      <c r="C4" s="14" t="s">
        <v>779</v>
      </c>
      <c r="D4" s="14">
        <v>0</v>
      </c>
      <c r="E4" s="14" t="s">
        <v>872</v>
      </c>
    </row>
    <row r="5" spans="1:5" x14ac:dyDescent="0.15">
      <c r="A5" s="14">
        <v>3</v>
      </c>
      <c r="B5" s="14">
        <v>2</v>
      </c>
      <c r="C5" s="14" t="s">
        <v>873</v>
      </c>
      <c r="D5" s="14">
        <v>0</v>
      </c>
      <c r="E5" s="14" t="s">
        <v>874</v>
      </c>
    </row>
    <row r="6" spans="1:5" x14ac:dyDescent="0.15">
      <c r="A6" s="14">
        <v>4</v>
      </c>
      <c r="B6" s="14">
        <v>2</v>
      </c>
      <c r="C6" s="14" t="s">
        <v>875</v>
      </c>
      <c r="D6" s="14">
        <v>0</v>
      </c>
      <c r="E6" s="14" t="s">
        <v>876</v>
      </c>
    </row>
    <row r="7" spans="1:5" x14ac:dyDescent="0.15">
      <c r="A7" s="14">
        <v>6</v>
      </c>
      <c r="B7" s="14">
        <v>2</v>
      </c>
      <c r="C7" s="14" t="s">
        <v>877</v>
      </c>
      <c r="D7" s="14">
        <v>0</v>
      </c>
      <c r="E7" s="14" t="s">
        <v>878</v>
      </c>
    </row>
    <row r="8" spans="1:5" x14ac:dyDescent="0.15">
      <c r="A8" s="14">
        <v>7</v>
      </c>
      <c r="B8" s="14">
        <v>0</v>
      </c>
      <c r="C8" s="14" t="s">
        <v>879</v>
      </c>
      <c r="D8" s="14">
        <v>0</v>
      </c>
      <c r="E8" s="14" t="s">
        <v>880</v>
      </c>
    </row>
    <row r="9" spans="1:5" x14ac:dyDescent="0.15">
      <c r="A9" s="14">
        <v>8</v>
      </c>
      <c r="B9" s="14">
        <v>2</v>
      </c>
      <c r="C9" s="14" t="s">
        <v>881</v>
      </c>
      <c r="D9" s="14">
        <v>0</v>
      </c>
      <c r="E9" s="14" t="s">
        <v>882</v>
      </c>
    </row>
    <row r="10" spans="1:5" x14ac:dyDescent="0.15">
      <c r="A10" s="14">
        <v>9</v>
      </c>
      <c r="B10" s="14">
        <v>2</v>
      </c>
      <c r="C10" s="14" t="s">
        <v>883</v>
      </c>
      <c r="D10" s="14">
        <v>0</v>
      </c>
      <c r="E10" s="14" t="s">
        <v>884</v>
      </c>
    </row>
    <row r="11" spans="1:5" x14ac:dyDescent="0.15">
      <c r="A11" s="14">
        <v>10</v>
      </c>
      <c r="B11" s="14">
        <v>2</v>
      </c>
      <c r="C11" s="14" t="s">
        <v>885</v>
      </c>
      <c r="D11" s="14">
        <v>0</v>
      </c>
      <c r="E11" s="14" t="s">
        <v>886</v>
      </c>
    </row>
    <row r="12" spans="1:5" x14ac:dyDescent="0.15">
      <c r="A12" s="14">
        <v>11</v>
      </c>
      <c r="B12" s="14">
        <v>2</v>
      </c>
      <c r="C12" s="14" t="s">
        <v>887</v>
      </c>
      <c r="D12" s="14">
        <v>0</v>
      </c>
      <c r="E12" s="16" t="s">
        <v>888</v>
      </c>
    </row>
    <row r="13" spans="1:5" x14ac:dyDescent="0.15">
      <c r="A13" s="14">
        <v>12</v>
      </c>
      <c r="B13" s="14">
        <v>2</v>
      </c>
      <c r="C13" s="14" t="s">
        <v>889</v>
      </c>
      <c r="D13" s="14">
        <v>0</v>
      </c>
      <c r="E13" s="14" t="s">
        <v>890</v>
      </c>
    </row>
    <row r="14" spans="1:5" x14ac:dyDescent="0.15">
      <c r="A14" s="14">
        <v>13</v>
      </c>
      <c r="B14" s="14">
        <v>2</v>
      </c>
      <c r="C14" s="14" t="s">
        <v>891</v>
      </c>
      <c r="D14" s="14">
        <v>0</v>
      </c>
      <c r="E14" s="14" t="s">
        <v>892</v>
      </c>
    </row>
    <row r="15" spans="1:5" x14ac:dyDescent="0.15">
      <c r="A15" s="14">
        <v>14</v>
      </c>
      <c r="B15" s="14">
        <v>2</v>
      </c>
      <c r="C15" s="14" t="s">
        <v>893</v>
      </c>
      <c r="D15" s="14">
        <v>0</v>
      </c>
      <c r="E15" s="16" t="s">
        <v>894</v>
      </c>
    </row>
    <row r="16" spans="1:5" x14ac:dyDescent="0.15">
      <c r="A16" s="14">
        <v>15</v>
      </c>
      <c r="B16" s="14">
        <v>2</v>
      </c>
      <c r="C16" s="14" t="s">
        <v>895</v>
      </c>
      <c r="D16" s="14">
        <v>0</v>
      </c>
      <c r="E16" s="14" t="s">
        <v>896</v>
      </c>
    </row>
    <row r="17" spans="1:5" x14ac:dyDescent="0.15">
      <c r="A17" s="14">
        <v>16</v>
      </c>
      <c r="B17" s="14">
        <v>2</v>
      </c>
      <c r="C17" s="14" t="s">
        <v>897</v>
      </c>
      <c r="D17" s="14">
        <v>0</v>
      </c>
      <c r="E17" s="14" t="s">
        <v>898</v>
      </c>
    </row>
    <row r="18" spans="1:5" x14ac:dyDescent="0.15">
      <c r="A18" s="14">
        <v>17</v>
      </c>
      <c r="B18" s="14">
        <v>0</v>
      </c>
      <c r="C18" s="14" t="s">
        <v>899</v>
      </c>
      <c r="D18" s="14">
        <v>0</v>
      </c>
      <c r="E18" s="14" t="s">
        <v>900</v>
      </c>
    </row>
    <row r="19" spans="1:5" x14ac:dyDescent="0.15">
      <c r="A19" s="14">
        <v>18</v>
      </c>
      <c r="B19" s="14">
        <v>2</v>
      </c>
      <c r="C19" s="14" t="s">
        <v>901</v>
      </c>
      <c r="D19" s="14">
        <v>0</v>
      </c>
      <c r="E19" s="14" t="s">
        <v>902</v>
      </c>
    </row>
    <row r="20" spans="1:5" x14ac:dyDescent="0.15">
      <c r="A20" s="14">
        <v>19</v>
      </c>
      <c r="B20" s="14">
        <v>2</v>
      </c>
      <c r="C20" s="14" t="s">
        <v>903</v>
      </c>
      <c r="D20" s="14">
        <v>0</v>
      </c>
      <c r="E20" s="14" t="s">
        <v>904</v>
      </c>
    </row>
    <row r="21" spans="1:5" x14ac:dyDescent="0.15">
      <c r="A21" s="14">
        <v>20</v>
      </c>
      <c r="B21" s="14">
        <v>2</v>
      </c>
      <c r="C21" s="14" t="s">
        <v>905</v>
      </c>
      <c r="D21" s="14">
        <v>0</v>
      </c>
      <c r="E21" s="14" t="s">
        <v>906</v>
      </c>
    </row>
    <row r="22" spans="1:5" x14ac:dyDescent="0.15">
      <c r="A22" s="14">
        <v>21</v>
      </c>
      <c r="B22" s="14">
        <v>2</v>
      </c>
      <c r="C22" s="14" t="s">
        <v>907</v>
      </c>
      <c r="D22" s="14">
        <v>0</v>
      </c>
      <c r="E22" s="14" t="s">
        <v>908</v>
      </c>
    </row>
    <row r="23" spans="1:5" x14ac:dyDescent="0.15">
      <c r="A23" s="14">
        <v>30</v>
      </c>
      <c r="B23" s="14">
        <v>2</v>
      </c>
      <c r="C23" s="14" t="s">
        <v>909</v>
      </c>
      <c r="D23" s="14">
        <v>0</v>
      </c>
      <c r="E23" s="14" t="s">
        <v>910</v>
      </c>
    </row>
    <row r="24" spans="1:5" x14ac:dyDescent="0.15">
      <c r="A24" s="14">
        <v>31</v>
      </c>
      <c r="B24" s="14">
        <v>2</v>
      </c>
      <c r="C24" s="14" t="s">
        <v>911</v>
      </c>
      <c r="D24" s="14">
        <v>0</v>
      </c>
      <c r="E24" s="14" t="s">
        <v>912</v>
      </c>
    </row>
    <row r="25" spans="1:5" x14ac:dyDescent="0.15">
      <c r="A25" s="14">
        <v>32</v>
      </c>
      <c r="B25" s="14">
        <v>2</v>
      </c>
      <c r="C25" s="14" t="s">
        <v>913</v>
      </c>
      <c r="D25" s="14">
        <v>0</v>
      </c>
      <c r="E25" s="14" t="s">
        <v>914</v>
      </c>
    </row>
    <row r="26" spans="1:5" x14ac:dyDescent="0.15">
      <c r="A26" s="14">
        <v>34</v>
      </c>
      <c r="B26" s="14">
        <v>2</v>
      </c>
      <c r="C26" s="14" t="s">
        <v>915</v>
      </c>
      <c r="D26" s="14">
        <v>0</v>
      </c>
      <c r="E26" s="14" t="s">
        <v>916</v>
      </c>
    </row>
    <row r="27" spans="1:5" x14ac:dyDescent="0.15">
      <c r="A27" s="14">
        <v>35</v>
      </c>
      <c r="B27" s="14">
        <v>2</v>
      </c>
      <c r="C27" s="14" t="s">
        <v>917</v>
      </c>
      <c r="D27" s="14">
        <v>0</v>
      </c>
      <c r="E27" s="14" t="s">
        <v>918</v>
      </c>
    </row>
    <row r="28" spans="1:5" x14ac:dyDescent="0.15">
      <c r="A28" s="14">
        <v>36</v>
      </c>
      <c r="B28" s="14">
        <v>2</v>
      </c>
      <c r="C28" s="14" t="s">
        <v>919</v>
      </c>
      <c r="D28" s="14">
        <v>0</v>
      </c>
      <c r="E28" s="14" t="s">
        <v>920</v>
      </c>
    </row>
    <row r="29" spans="1:5" x14ac:dyDescent="0.15">
      <c r="A29" s="14">
        <v>37</v>
      </c>
      <c r="B29" s="14">
        <v>2</v>
      </c>
      <c r="C29" s="14" t="s">
        <v>921</v>
      </c>
      <c r="D29" s="14">
        <v>0</v>
      </c>
      <c r="E29" s="14" t="s">
        <v>922</v>
      </c>
    </row>
    <row r="30" spans="1:5" x14ac:dyDescent="0.15">
      <c r="A30" s="14">
        <v>38</v>
      </c>
      <c r="B30" s="14">
        <v>2</v>
      </c>
      <c r="C30" s="14" t="s">
        <v>923</v>
      </c>
      <c r="D30" s="14">
        <v>0</v>
      </c>
      <c r="E30" s="14" t="s">
        <v>924</v>
      </c>
    </row>
    <row r="31" spans="1:5" x14ac:dyDescent="0.15">
      <c r="A31" s="14">
        <v>39</v>
      </c>
      <c r="B31" s="14">
        <v>2</v>
      </c>
      <c r="C31" s="14" t="s">
        <v>207</v>
      </c>
      <c r="D31" s="14">
        <v>2</v>
      </c>
      <c r="E31" s="14" t="s">
        <v>925</v>
      </c>
    </row>
    <row r="32" spans="1:5" x14ac:dyDescent="0.15">
      <c r="A32" s="14">
        <v>42</v>
      </c>
      <c r="B32" s="14">
        <v>2</v>
      </c>
      <c r="C32" s="14" t="s">
        <v>926</v>
      </c>
      <c r="D32" s="14">
        <v>0</v>
      </c>
      <c r="E32" s="14" t="s">
        <v>927</v>
      </c>
    </row>
    <row r="33" spans="1:5" x14ac:dyDescent="0.15">
      <c r="A33" s="14">
        <v>43</v>
      </c>
      <c r="B33" s="14">
        <v>0</v>
      </c>
      <c r="C33" s="14" t="s">
        <v>928</v>
      </c>
      <c r="D33" s="14">
        <v>0</v>
      </c>
      <c r="E33" s="14" t="s">
        <v>929</v>
      </c>
    </row>
    <row r="34" spans="1:5" x14ac:dyDescent="0.15">
      <c r="A34" s="14">
        <v>44</v>
      </c>
      <c r="B34" s="14">
        <v>0</v>
      </c>
      <c r="C34" s="14" t="s">
        <v>930</v>
      </c>
      <c r="D34" s="14">
        <v>0</v>
      </c>
      <c r="E34" s="14" t="s">
        <v>931</v>
      </c>
    </row>
    <row r="35" spans="1:5" x14ac:dyDescent="0.15">
      <c r="A35" s="14">
        <v>45</v>
      </c>
      <c r="B35" s="14">
        <v>2</v>
      </c>
      <c r="C35" s="14" t="s">
        <v>850</v>
      </c>
      <c r="D35" s="14">
        <v>4</v>
      </c>
      <c r="E35" s="14" t="s">
        <v>932</v>
      </c>
    </row>
    <row r="36" spans="1:5" x14ac:dyDescent="0.15">
      <c r="A36" s="14">
        <v>46</v>
      </c>
      <c r="B36" s="14">
        <v>2</v>
      </c>
      <c r="C36" s="14" t="s">
        <v>304</v>
      </c>
      <c r="D36" s="14">
        <v>0</v>
      </c>
      <c r="E36" s="14" t="s">
        <v>933</v>
      </c>
    </row>
    <row r="37" spans="1:5" x14ac:dyDescent="0.15">
      <c r="A37" s="14">
        <v>47</v>
      </c>
      <c r="B37" s="14">
        <v>2</v>
      </c>
      <c r="C37" s="14" t="s">
        <v>851</v>
      </c>
      <c r="D37" s="14">
        <v>3</v>
      </c>
      <c r="E37" s="14" t="s">
        <v>934</v>
      </c>
    </row>
    <row r="38" spans="1:5" x14ac:dyDescent="0.15">
      <c r="A38" s="14">
        <v>49</v>
      </c>
      <c r="B38" s="14">
        <v>2</v>
      </c>
      <c r="C38" s="14" t="s">
        <v>935</v>
      </c>
      <c r="D38" s="14">
        <v>0</v>
      </c>
      <c r="E38" s="14" t="s">
        <v>936</v>
      </c>
    </row>
    <row r="39" spans="1:5" x14ac:dyDescent="0.15">
      <c r="A39" s="14">
        <v>50</v>
      </c>
      <c r="B39" s="14">
        <v>0</v>
      </c>
      <c r="C39" s="14" t="s">
        <v>937</v>
      </c>
      <c r="D39" s="14">
        <v>0</v>
      </c>
      <c r="E39" s="14" t="s">
        <v>938</v>
      </c>
    </row>
    <row r="40" spans="1:5" x14ac:dyDescent="0.15">
      <c r="A40" s="14">
        <v>51</v>
      </c>
      <c r="B40" s="14">
        <v>2</v>
      </c>
      <c r="C40" s="14" t="s">
        <v>939</v>
      </c>
      <c r="D40" s="14">
        <v>0</v>
      </c>
      <c r="E40" s="14" t="s">
        <v>940</v>
      </c>
    </row>
    <row r="41" spans="1:5" x14ac:dyDescent="0.15">
      <c r="A41" s="14">
        <v>52</v>
      </c>
      <c r="B41" s="14">
        <v>2</v>
      </c>
      <c r="C41" s="14" t="s">
        <v>941</v>
      </c>
      <c r="D41" s="14">
        <v>0</v>
      </c>
      <c r="E41" s="14" t="s">
        <v>942</v>
      </c>
    </row>
    <row r="42" spans="1:5" x14ac:dyDescent="0.15">
      <c r="A42" s="14">
        <v>53</v>
      </c>
      <c r="B42" s="14">
        <v>2</v>
      </c>
      <c r="C42" s="14" t="s">
        <v>943</v>
      </c>
      <c r="D42" s="14">
        <v>0</v>
      </c>
      <c r="E42" s="14" t="s">
        <v>1005</v>
      </c>
    </row>
    <row r="43" spans="1:5" x14ac:dyDescent="0.15">
      <c r="A43" s="14">
        <v>54</v>
      </c>
      <c r="B43" s="14">
        <v>2</v>
      </c>
      <c r="C43" s="14" t="s">
        <v>944</v>
      </c>
      <c r="D43" s="14">
        <v>0</v>
      </c>
      <c r="E43" s="14" t="s">
        <v>1006</v>
      </c>
    </row>
    <row r="44" spans="1:5" x14ac:dyDescent="0.15">
      <c r="A44" s="14">
        <v>55</v>
      </c>
      <c r="B44" s="14">
        <v>0</v>
      </c>
      <c r="C44" s="14" t="s">
        <v>945</v>
      </c>
      <c r="D44" s="14">
        <v>0</v>
      </c>
      <c r="E44" s="14" t="s">
        <v>946</v>
      </c>
    </row>
    <row r="45" spans="1:5" x14ac:dyDescent="0.15">
      <c r="A45" s="14">
        <v>57</v>
      </c>
      <c r="B45" s="14">
        <v>2</v>
      </c>
      <c r="C45" s="14" t="s">
        <v>947</v>
      </c>
      <c r="D45" s="14">
        <v>0</v>
      </c>
      <c r="E45" s="14" t="s">
        <v>948</v>
      </c>
    </row>
    <row r="46" spans="1:5" x14ac:dyDescent="0.15">
      <c r="A46" s="14">
        <v>58</v>
      </c>
      <c r="B46" s="14">
        <v>2</v>
      </c>
      <c r="C46" s="14" t="s">
        <v>949</v>
      </c>
      <c r="D46" s="14">
        <v>0</v>
      </c>
      <c r="E46" s="14" t="s">
        <v>950</v>
      </c>
    </row>
    <row r="47" spans="1:5" x14ac:dyDescent="0.15">
      <c r="A47" s="14">
        <v>59</v>
      </c>
      <c r="B47" s="14">
        <v>2</v>
      </c>
      <c r="C47" s="14" t="s">
        <v>334</v>
      </c>
      <c r="D47" s="14">
        <v>0</v>
      </c>
      <c r="E47" s="14" t="s">
        <v>951</v>
      </c>
    </row>
    <row r="48" spans="1:5" x14ac:dyDescent="0.15">
      <c r="A48" s="14">
        <v>60</v>
      </c>
      <c r="B48" s="14">
        <v>0</v>
      </c>
      <c r="C48" s="14" t="s">
        <v>952</v>
      </c>
      <c r="D48" s="14">
        <v>0</v>
      </c>
      <c r="E48" s="14" t="s">
        <v>953</v>
      </c>
    </row>
    <row r="49" spans="1:5" x14ac:dyDescent="0.15">
      <c r="A49" s="14">
        <v>61</v>
      </c>
      <c r="B49" s="14">
        <v>2</v>
      </c>
      <c r="C49" s="14" t="s">
        <v>954</v>
      </c>
      <c r="D49" s="14">
        <v>1</v>
      </c>
      <c r="E49" s="14" t="s">
        <v>955</v>
      </c>
    </row>
    <row r="50" spans="1:5" ht="22.5" x14ac:dyDescent="0.15">
      <c r="A50" s="14">
        <v>62</v>
      </c>
      <c r="B50" s="14">
        <v>2</v>
      </c>
      <c r="C50" s="14" t="s">
        <v>956</v>
      </c>
      <c r="D50" s="14">
        <v>0</v>
      </c>
      <c r="E50" s="17" t="s">
        <v>957</v>
      </c>
    </row>
    <row r="51" spans="1:5" ht="22.5" x14ac:dyDescent="0.15">
      <c r="A51" s="14">
        <v>63</v>
      </c>
      <c r="B51" s="14">
        <v>2</v>
      </c>
      <c r="C51" s="14" t="s">
        <v>958</v>
      </c>
      <c r="D51" s="14">
        <v>0</v>
      </c>
      <c r="E51" s="17" t="s">
        <v>959</v>
      </c>
    </row>
    <row r="52" spans="1:5" ht="22.5" x14ac:dyDescent="0.15">
      <c r="A52" s="14">
        <v>64</v>
      </c>
      <c r="B52" s="14">
        <v>2</v>
      </c>
      <c r="C52" s="14" t="s">
        <v>960</v>
      </c>
      <c r="D52" s="14">
        <v>0</v>
      </c>
      <c r="E52" s="17" t="s">
        <v>957</v>
      </c>
    </row>
    <row r="53" spans="1:5" ht="22.5" x14ac:dyDescent="0.15">
      <c r="A53" s="14">
        <v>65</v>
      </c>
      <c r="B53" s="14">
        <v>2</v>
      </c>
      <c r="C53" s="14" t="s">
        <v>961</v>
      </c>
      <c r="D53" s="14">
        <v>0</v>
      </c>
      <c r="E53" s="17" t="s">
        <v>962</v>
      </c>
    </row>
    <row r="54" spans="1:5" ht="22.5" x14ac:dyDescent="0.15">
      <c r="A54" s="14">
        <v>66</v>
      </c>
      <c r="B54" s="14">
        <v>2</v>
      </c>
      <c r="C54" s="14" t="s">
        <v>963</v>
      </c>
      <c r="D54" s="14">
        <v>0</v>
      </c>
      <c r="E54" s="17" t="s">
        <v>964</v>
      </c>
    </row>
    <row r="55" spans="1:5" ht="22.5" x14ac:dyDescent="0.15">
      <c r="A55" s="14">
        <v>67</v>
      </c>
      <c r="B55" s="14">
        <v>2</v>
      </c>
      <c r="C55" s="14" t="s">
        <v>965</v>
      </c>
      <c r="D55" s="14">
        <v>0</v>
      </c>
      <c r="E55" s="17" t="s">
        <v>966</v>
      </c>
    </row>
    <row r="56" spans="1:5" ht="22.5" x14ac:dyDescent="0.15">
      <c r="A56" s="14">
        <v>68</v>
      </c>
      <c r="B56" s="14">
        <v>0</v>
      </c>
      <c r="C56" s="14" t="s">
        <v>967</v>
      </c>
      <c r="D56" s="14">
        <v>0</v>
      </c>
      <c r="E56" s="17" t="s">
        <v>968</v>
      </c>
    </row>
    <row r="57" spans="1:5" ht="22.5" x14ac:dyDescent="0.15">
      <c r="A57" s="14">
        <v>69</v>
      </c>
      <c r="B57" s="14">
        <v>2</v>
      </c>
      <c r="C57" s="14" t="s">
        <v>969</v>
      </c>
      <c r="D57" s="14">
        <v>0</v>
      </c>
      <c r="E57" s="17" t="s">
        <v>970</v>
      </c>
    </row>
    <row r="58" spans="1:5" x14ac:dyDescent="0.15">
      <c r="A58" s="14">
        <v>70</v>
      </c>
      <c r="B58" s="14">
        <v>0</v>
      </c>
      <c r="C58" s="14" t="s">
        <v>971</v>
      </c>
      <c r="D58" s="14">
        <v>0</v>
      </c>
      <c r="E58" s="14" t="s">
        <v>972</v>
      </c>
    </row>
    <row r="59" spans="1:5" x14ac:dyDescent="0.15">
      <c r="A59" s="14">
        <v>71</v>
      </c>
      <c r="B59" s="14">
        <v>0</v>
      </c>
      <c r="C59" s="14" t="s">
        <v>973</v>
      </c>
      <c r="D59" s="14">
        <v>0</v>
      </c>
      <c r="E59" s="14" t="s">
        <v>912</v>
      </c>
    </row>
    <row r="60" spans="1:5" x14ac:dyDescent="0.15">
      <c r="A60" s="14">
        <v>72</v>
      </c>
      <c r="B60" s="14">
        <v>2</v>
      </c>
      <c r="C60" s="14" t="s">
        <v>974</v>
      </c>
      <c r="D60" s="14">
        <v>0</v>
      </c>
      <c r="E60" s="14" t="s">
        <v>975</v>
      </c>
    </row>
    <row r="61" spans="1:5" x14ac:dyDescent="0.15">
      <c r="A61" s="14">
        <v>73</v>
      </c>
      <c r="B61" s="14">
        <v>0</v>
      </c>
      <c r="C61" s="14" t="s">
        <v>976</v>
      </c>
      <c r="D61" s="14">
        <v>0</v>
      </c>
      <c r="E61" s="14" t="s">
        <v>977</v>
      </c>
    </row>
    <row r="62" spans="1:5" x14ac:dyDescent="0.15">
      <c r="A62" s="14">
        <v>74</v>
      </c>
      <c r="B62" s="14">
        <v>0</v>
      </c>
      <c r="C62" s="14" t="s">
        <v>978</v>
      </c>
      <c r="D62" s="14">
        <v>0</v>
      </c>
      <c r="E62" s="14" t="s">
        <v>979</v>
      </c>
    </row>
    <row r="63" spans="1:5" x14ac:dyDescent="0.15">
      <c r="A63" s="14">
        <v>75</v>
      </c>
      <c r="B63" s="14">
        <v>2</v>
      </c>
      <c r="C63" s="14" t="s">
        <v>227</v>
      </c>
      <c r="D63" s="14">
        <v>5</v>
      </c>
      <c r="E63" s="14" t="s">
        <v>980</v>
      </c>
    </row>
    <row r="64" spans="1:5" x14ac:dyDescent="0.15">
      <c r="A64" s="14">
        <v>76</v>
      </c>
      <c r="B64" s="14">
        <v>2</v>
      </c>
      <c r="C64" s="14" t="s">
        <v>231</v>
      </c>
      <c r="D64" s="14">
        <v>2</v>
      </c>
      <c r="E64" s="14" t="s">
        <v>981</v>
      </c>
    </row>
    <row r="65" spans="1:5" x14ac:dyDescent="0.15">
      <c r="A65" s="14">
        <v>77</v>
      </c>
      <c r="B65" s="14">
        <v>2</v>
      </c>
      <c r="C65" s="14" t="s">
        <v>248</v>
      </c>
      <c r="D65" s="14">
        <v>1</v>
      </c>
      <c r="E65" s="14" t="s">
        <v>981</v>
      </c>
    </row>
    <row r="66" spans="1:5" x14ac:dyDescent="0.15">
      <c r="A66" s="14">
        <v>78</v>
      </c>
      <c r="B66" s="14">
        <v>2</v>
      </c>
      <c r="C66" s="14" t="s">
        <v>203</v>
      </c>
      <c r="D66" s="14">
        <v>1</v>
      </c>
      <c r="E66" s="14" t="s">
        <v>982</v>
      </c>
    </row>
    <row r="67" spans="1:5" x14ac:dyDescent="0.15">
      <c r="A67" s="14">
        <v>79</v>
      </c>
      <c r="B67" s="14">
        <v>2</v>
      </c>
      <c r="C67" s="14" t="s">
        <v>215</v>
      </c>
      <c r="D67" s="14">
        <v>0</v>
      </c>
      <c r="E67" s="14" t="s">
        <v>983</v>
      </c>
    </row>
    <row r="68" spans="1:5" x14ac:dyDescent="0.15">
      <c r="A68" s="14">
        <v>80</v>
      </c>
      <c r="B68" s="14">
        <v>2</v>
      </c>
      <c r="C68" s="14" t="s">
        <v>219</v>
      </c>
      <c r="D68" s="14">
        <v>0</v>
      </c>
      <c r="E68" s="14" t="s">
        <v>984</v>
      </c>
    </row>
    <row r="69" spans="1:5" x14ac:dyDescent="0.15">
      <c r="A69" s="14">
        <v>81</v>
      </c>
      <c r="B69" s="14">
        <v>2</v>
      </c>
      <c r="C69" s="14" t="s">
        <v>211</v>
      </c>
      <c r="D69" s="14">
        <v>5</v>
      </c>
      <c r="E69" s="14" t="s">
        <v>985</v>
      </c>
    </row>
    <row r="70" spans="1:5" x14ac:dyDescent="0.15">
      <c r="A70" s="14">
        <v>82</v>
      </c>
      <c r="B70" s="14">
        <v>2</v>
      </c>
      <c r="C70" s="14" t="s">
        <v>852</v>
      </c>
      <c r="D70" s="14">
        <v>0</v>
      </c>
      <c r="E70" s="14" t="s">
        <v>986</v>
      </c>
    </row>
    <row r="71" spans="1:5" x14ac:dyDescent="0.15">
      <c r="A71" s="14">
        <v>83</v>
      </c>
      <c r="B71" s="14">
        <v>2</v>
      </c>
      <c r="C71" s="14" t="s">
        <v>853</v>
      </c>
      <c r="D71" s="14">
        <v>0</v>
      </c>
      <c r="E71" s="14" t="s">
        <v>987</v>
      </c>
    </row>
    <row r="72" spans="1:5" x14ac:dyDescent="0.15">
      <c r="A72" s="14">
        <v>84</v>
      </c>
      <c r="B72" s="14">
        <v>2</v>
      </c>
      <c r="C72" s="14" t="s">
        <v>988</v>
      </c>
      <c r="D72" s="14">
        <v>0</v>
      </c>
      <c r="E72" s="14" t="s">
        <v>989</v>
      </c>
    </row>
    <row r="73" spans="1:5" x14ac:dyDescent="0.15">
      <c r="A73" s="14">
        <v>85</v>
      </c>
      <c r="B73" s="14">
        <v>2</v>
      </c>
      <c r="C73" s="14" t="s">
        <v>990</v>
      </c>
      <c r="D73" s="14">
        <v>0</v>
      </c>
      <c r="E73" s="14" t="s">
        <v>991</v>
      </c>
    </row>
    <row r="74" spans="1:5" x14ac:dyDescent="0.15">
      <c r="A74" s="14">
        <v>86</v>
      </c>
      <c r="B74" s="14">
        <v>2</v>
      </c>
      <c r="C74" s="14" t="s">
        <v>992</v>
      </c>
      <c r="D74" s="14">
        <v>0</v>
      </c>
      <c r="E74" s="14" t="s">
        <v>993</v>
      </c>
    </row>
    <row r="75" spans="1:5" x14ac:dyDescent="0.15">
      <c r="A75" s="14">
        <v>101</v>
      </c>
      <c r="B75" s="14">
        <v>2</v>
      </c>
      <c r="C75" s="14" t="s">
        <v>994</v>
      </c>
      <c r="D75" s="14">
        <v>0</v>
      </c>
      <c r="E75" s="14" t="s">
        <v>994</v>
      </c>
    </row>
    <row r="76" spans="1:5" x14ac:dyDescent="0.15">
      <c r="A76" s="14">
        <v>102</v>
      </c>
      <c r="B76" s="14">
        <v>2</v>
      </c>
      <c r="C76" s="14" t="s">
        <v>995</v>
      </c>
      <c r="D76" s="14">
        <v>0</v>
      </c>
      <c r="E76" s="14" t="s">
        <v>995</v>
      </c>
    </row>
    <row r="77" spans="1:5" x14ac:dyDescent="0.15">
      <c r="A77" s="14">
        <v>103</v>
      </c>
      <c r="B77" s="14">
        <v>2</v>
      </c>
      <c r="C77" s="14" t="s">
        <v>996</v>
      </c>
      <c r="D77" s="14">
        <v>0</v>
      </c>
      <c r="E77" s="14" t="s">
        <v>996</v>
      </c>
    </row>
    <row r="78" spans="1:5" x14ac:dyDescent="0.15">
      <c r="A78" s="14">
        <v>104</v>
      </c>
      <c r="B78" s="14">
        <v>2</v>
      </c>
      <c r="C78" s="14" t="s">
        <v>997</v>
      </c>
      <c r="D78" s="14">
        <v>0</v>
      </c>
      <c r="E78" s="14" t="s">
        <v>997</v>
      </c>
    </row>
    <row r="79" spans="1:5" x14ac:dyDescent="0.15">
      <c r="A79" s="14">
        <v>105</v>
      </c>
      <c r="B79" s="14">
        <v>2</v>
      </c>
      <c r="C79" s="14" t="s">
        <v>998</v>
      </c>
      <c r="D79" s="14">
        <v>0</v>
      </c>
      <c r="E79" s="14" t="s">
        <v>998</v>
      </c>
    </row>
    <row r="80" spans="1:5" x14ac:dyDescent="0.15">
      <c r="A80" s="14">
        <v>106</v>
      </c>
      <c r="B80" s="14">
        <v>2</v>
      </c>
      <c r="C80" s="14" t="s">
        <v>999</v>
      </c>
      <c r="D80" s="14">
        <v>0</v>
      </c>
      <c r="E80" s="14" t="s">
        <v>999</v>
      </c>
    </row>
    <row r="81" spans="1:5" x14ac:dyDescent="0.15">
      <c r="A81" s="14">
        <v>107</v>
      </c>
      <c r="B81" s="14">
        <v>2</v>
      </c>
      <c r="C81" s="14" t="s">
        <v>1000</v>
      </c>
      <c r="D81" s="14">
        <v>0</v>
      </c>
      <c r="E81" s="14" t="s">
        <v>1000</v>
      </c>
    </row>
    <row r="82" spans="1:5" x14ac:dyDescent="0.15">
      <c r="A82" s="14">
        <v>108</v>
      </c>
      <c r="B82" s="14">
        <v>2</v>
      </c>
      <c r="C82" s="14" t="s">
        <v>1001</v>
      </c>
      <c r="D82" s="14">
        <v>0</v>
      </c>
      <c r="E82" s="14" t="s">
        <v>1001</v>
      </c>
    </row>
    <row r="83" spans="1:5" x14ac:dyDescent="0.15">
      <c r="A83" s="14">
        <v>109</v>
      </c>
      <c r="B83" s="14">
        <v>2</v>
      </c>
      <c r="C83" s="14" t="s">
        <v>1002</v>
      </c>
      <c r="D83" s="14">
        <v>0</v>
      </c>
      <c r="E83" s="14" t="s">
        <v>1002</v>
      </c>
    </row>
    <row r="84" spans="1:5" x14ac:dyDescent="0.15">
      <c r="A84" s="14">
        <v>110</v>
      </c>
      <c r="B84" s="14">
        <v>2</v>
      </c>
      <c r="C84" s="14" t="s">
        <v>1003</v>
      </c>
      <c r="D84" s="14">
        <v>0</v>
      </c>
      <c r="E84" s="14" t="s">
        <v>1003</v>
      </c>
    </row>
    <row r="85" spans="1:5" x14ac:dyDescent="0.15">
      <c r="A85" s="14">
        <v>204</v>
      </c>
      <c r="B85" s="14">
        <v>2</v>
      </c>
      <c r="C85" s="14" t="s">
        <v>1004</v>
      </c>
      <c r="D85" s="14">
        <v>0</v>
      </c>
      <c r="E85" s="14" t="s">
        <v>1004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28"/>
  <sheetViews>
    <sheetView topLeftCell="L1" workbookViewId="0">
      <selection activeCell="O13" sqref="O13"/>
    </sheetView>
  </sheetViews>
  <sheetFormatPr defaultColWidth="9" defaultRowHeight="13.5" x14ac:dyDescent="0.15"/>
  <cols>
    <col min="3" max="3" width="12.625" customWidth="1"/>
    <col min="4" max="4" width="25" bestFit="1" customWidth="1"/>
    <col min="5" max="5" width="65" customWidth="1"/>
    <col min="6" max="6" width="11.5" style="1" customWidth="1"/>
    <col min="7" max="7" width="14.125" customWidth="1"/>
    <col min="8" max="9" width="18.25" style="4" customWidth="1"/>
    <col min="10" max="10" width="22.625" style="4" customWidth="1"/>
    <col min="11" max="11" width="15.625" style="4" customWidth="1"/>
    <col min="12" max="12" width="17.5" style="4" customWidth="1"/>
    <col min="13" max="13" width="19.875" style="4" customWidth="1"/>
    <col min="14" max="14" width="18.125" style="4" customWidth="1"/>
    <col min="15" max="15" width="17.125" style="4" customWidth="1"/>
    <col min="16" max="16" width="20.375" style="4" customWidth="1"/>
    <col min="17" max="17" width="17.25" style="4" customWidth="1"/>
    <col min="18" max="18" width="18.25" style="4" customWidth="1"/>
    <col min="19" max="19" width="17.25" style="4" customWidth="1"/>
    <col min="20" max="20" width="16.625" style="4" customWidth="1"/>
    <col min="21" max="21" width="14.125" customWidth="1"/>
  </cols>
  <sheetData>
    <row r="1" spans="1:20" x14ac:dyDescent="0.15">
      <c r="A1" t="s">
        <v>5</v>
      </c>
      <c r="B1" t="s">
        <v>6</v>
      </c>
      <c r="C1" s="12" t="s">
        <v>630</v>
      </c>
      <c r="D1" s="12" t="s">
        <v>572</v>
      </c>
      <c r="E1" t="s">
        <v>7</v>
      </c>
      <c r="F1" s="13" t="s">
        <v>680</v>
      </c>
      <c r="G1" t="s">
        <v>770</v>
      </c>
      <c r="H1" s="4" t="s">
        <v>200</v>
      </c>
      <c r="I1" s="4" t="s">
        <v>201</v>
      </c>
      <c r="J1" s="4" t="s">
        <v>202</v>
      </c>
      <c r="K1" s="11" t="s">
        <v>635</v>
      </c>
      <c r="L1" s="11" t="s">
        <v>636</v>
      </c>
      <c r="M1" s="11" t="s">
        <v>637</v>
      </c>
      <c r="N1" s="11" t="s">
        <v>638</v>
      </c>
      <c r="O1" s="11" t="s">
        <v>639</v>
      </c>
      <c r="P1" s="11" t="s">
        <v>640</v>
      </c>
      <c r="Q1" s="11" t="s">
        <v>641</v>
      </c>
      <c r="R1" s="11" t="s">
        <v>642</v>
      </c>
      <c r="S1" s="11" t="s">
        <v>643</v>
      </c>
      <c r="T1" s="11" t="s">
        <v>644</v>
      </c>
    </row>
    <row r="2" spans="1:20" x14ac:dyDescent="0.15">
      <c r="A2" t="s">
        <v>8</v>
      </c>
      <c r="B2" t="s">
        <v>9</v>
      </c>
      <c r="C2" s="12" t="s">
        <v>627</v>
      </c>
      <c r="D2" s="12" t="s">
        <v>684</v>
      </c>
      <c r="E2" t="s">
        <v>10</v>
      </c>
      <c r="F2" s="13" t="s">
        <v>679</v>
      </c>
      <c r="G2" t="s">
        <v>771</v>
      </c>
      <c r="H2" s="11" t="s">
        <v>657</v>
      </c>
      <c r="I2" s="11" t="s">
        <v>656</v>
      </c>
      <c r="J2" s="11" t="s">
        <v>655</v>
      </c>
      <c r="K2" s="11" t="s">
        <v>645</v>
      </c>
      <c r="L2" s="11" t="s">
        <v>646</v>
      </c>
      <c r="M2" s="11" t="s">
        <v>647</v>
      </c>
      <c r="N2" s="11" t="s">
        <v>648</v>
      </c>
      <c r="O2" s="11" t="s">
        <v>649</v>
      </c>
      <c r="P2" s="11" t="s">
        <v>650</v>
      </c>
      <c r="Q2" s="11" t="s">
        <v>651</v>
      </c>
      <c r="R2" s="11" t="s">
        <v>652</v>
      </c>
      <c r="S2" s="11" t="s">
        <v>653</v>
      </c>
      <c r="T2" s="11" t="s">
        <v>654</v>
      </c>
    </row>
    <row r="3" spans="1:20" x14ac:dyDescent="0.15">
      <c r="A3">
        <v>1</v>
      </c>
      <c r="B3" t="s">
        <v>467</v>
      </c>
      <c r="C3" t="s">
        <v>468</v>
      </c>
      <c r="D3" t="s">
        <v>685</v>
      </c>
      <c r="E3" t="s">
        <v>469</v>
      </c>
      <c r="F3" s="1">
        <v>1</v>
      </c>
      <c r="G3">
        <v>0</v>
      </c>
      <c r="H3" s="4">
        <v>2</v>
      </c>
      <c r="I3" s="4">
        <v>2</v>
      </c>
      <c r="J3" s="4">
        <v>2</v>
      </c>
      <c r="K3" s="4">
        <v>1</v>
      </c>
      <c r="L3" s="4">
        <v>1</v>
      </c>
      <c r="M3" s="4">
        <v>1</v>
      </c>
      <c r="N3" s="4">
        <v>2</v>
      </c>
      <c r="O3" s="4">
        <v>2</v>
      </c>
      <c r="P3" s="4">
        <v>2</v>
      </c>
      <c r="Q3" s="4">
        <v>3</v>
      </c>
      <c r="R3" s="4">
        <v>3</v>
      </c>
      <c r="S3" s="4">
        <v>5</v>
      </c>
      <c r="T3" s="4">
        <v>6</v>
      </c>
    </row>
    <row r="4" spans="1:20" x14ac:dyDescent="0.15">
      <c r="A4">
        <v>2</v>
      </c>
      <c r="B4" t="s">
        <v>409</v>
      </c>
      <c r="C4" t="s">
        <v>470</v>
      </c>
      <c r="D4" t="s">
        <v>687</v>
      </c>
      <c r="E4" t="s">
        <v>412</v>
      </c>
      <c r="F4" s="1" t="s">
        <v>471</v>
      </c>
      <c r="G4">
        <v>2</v>
      </c>
      <c r="H4" s="4">
        <v>2</v>
      </c>
      <c r="I4" s="4">
        <v>2</v>
      </c>
      <c r="J4" s="4">
        <v>2</v>
      </c>
      <c r="K4" s="4">
        <v>1</v>
      </c>
      <c r="L4" s="4">
        <v>1</v>
      </c>
      <c r="M4" s="4">
        <v>1</v>
      </c>
      <c r="N4" s="4">
        <v>2</v>
      </c>
      <c r="O4" s="4">
        <v>2</v>
      </c>
      <c r="P4" s="4">
        <v>2</v>
      </c>
      <c r="Q4" s="4">
        <v>3</v>
      </c>
      <c r="R4" s="4">
        <v>3</v>
      </c>
      <c r="S4" s="4">
        <v>5</v>
      </c>
      <c r="T4" s="4">
        <v>6</v>
      </c>
    </row>
    <row r="5" spans="1:20" x14ac:dyDescent="0.15">
      <c r="A5">
        <v>3</v>
      </c>
      <c r="B5" t="s">
        <v>413</v>
      </c>
      <c r="C5" t="s">
        <v>472</v>
      </c>
      <c r="D5" t="s">
        <v>689</v>
      </c>
      <c r="E5" t="s">
        <v>473</v>
      </c>
      <c r="F5" s="1" t="s">
        <v>474</v>
      </c>
      <c r="G5">
        <v>3</v>
      </c>
      <c r="H5" s="4">
        <v>2</v>
      </c>
      <c r="I5" s="4">
        <v>2</v>
      </c>
      <c r="J5" s="4">
        <v>2</v>
      </c>
      <c r="K5" s="4">
        <v>1</v>
      </c>
      <c r="L5" s="4">
        <v>1</v>
      </c>
      <c r="M5" s="4">
        <v>1</v>
      </c>
      <c r="N5" s="4">
        <v>2</v>
      </c>
      <c r="O5" s="4">
        <v>2</v>
      </c>
      <c r="P5" s="4">
        <v>2</v>
      </c>
      <c r="Q5" s="4">
        <v>3</v>
      </c>
      <c r="R5" s="4">
        <v>3</v>
      </c>
      <c r="S5" s="4">
        <v>5</v>
      </c>
      <c r="T5" s="4">
        <v>6</v>
      </c>
    </row>
    <row r="6" spans="1:20" x14ac:dyDescent="0.15">
      <c r="A6">
        <v>4</v>
      </c>
      <c r="B6" t="s">
        <v>417</v>
      </c>
      <c r="C6" t="s">
        <v>475</v>
      </c>
      <c r="D6" t="s">
        <v>686</v>
      </c>
      <c r="E6" t="s">
        <v>476</v>
      </c>
      <c r="F6" s="1" t="s">
        <v>477</v>
      </c>
      <c r="G6">
        <v>3</v>
      </c>
      <c r="H6" s="4">
        <v>2</v>
      </c>
      <c r="I6" s="4">
        <v>2</v>
      </c>
      <c r="J6" s="4">
        <v>2</v>
      </c>
      <c r="K6" s="4">
        <v>1</v>
      </c>
      <c r="L6" s="4">
        <v>1</v>
      </c>
      <c r="M6" s="4">
        <v>1</v>
      </c>
      <c r="N6" s="4">
        <v>2</v>
      </c>
      <c r="O6" s="4">
        <v>2</v>
      </c>
      <c r="P6" s="4">
        <v>2</v>
      </c>
      <c r="Q6" s="4">
        <v>3</v>
      </c>
      <c r="R6" s="4">
        <v>3</v>
      </c>
      <c r="S6" s="4">
        <v>5</v>
      </c>
      <c r="T6" s="4">
        <v>6</v>
      </c>
    </row>
    <row r="7" spans="1:20" x14ac:dyDescent="0.15">
      <c r="A7">
        <v>5</v>
      </c>
      <c r="B7" t="s">
        <v>421</v>
      </c>
      <c r="C7" t="s">
        <v>478</v>
      </c>
      <c r="D7" t="s">
        <v>690</v>
      </c>
      <c r="E7" t="s">
        <v>479</v>
      </c>
      <c r="F7" s="1" t="s">
        <v>480</v>
      </c>
      <c r="G7">
        <v>3</v>
      </c>
      <c r="H7" s="4">
        <v>2</v>
      </c>
      <c r="I7" s="4">
        <v>2</v>
      </c>
      <c r="J7" s="4">
        <v>2</v>
      </c>
      <c r="K7" s="4">
        <v>1</v>
      </c>
      <c r="L7" s="4">
        <v>1</v>
      </c>
      <c r="M7" s="4">
        <v>1</v>
      </c>
      <c r="N7" s="4">
        <v>2</v>
      </c>
      <c r="O7" s="4">
        <v>2</v>
      </c>
      <c r="P7" s="4">
        <v>2</v>
      </c>
      <c r="Q7" s="4">
        <v>3</v>
      </c>
      <c r="R7" s="4">
        <v>3</v>
      </c>
      <c r="S7" s="4">
        <v>5</v>
      </c>
      <c r="T7" s="4">
        <v>6</v>
      </c>
    </row>
    <row r="8" spans="1:20" x14ac:dyDescent="0.15">
      <c r="A8">
        <v>6</v>
      </c>
      <c r="B8" t="s">
        <v>425</v>
      </c>
      <c r="C8" t="s">
        <v>481</v>
      </c>
      <c r="D8" t="s">
        <v>688</v>
      </c>
      <c r="E8" t="s">
        <v>482</v>
      </c>
      <c r="F8" s="1" t="s">
        <v>483</v>
      </c>
      <c r="G8">
        <v>3</v>
      </c>
      <c r="H8" s="4">
        <v>2</v>
      </c>
      <c r="I8" s="4">
        <v>2</v>
      </c>
      <c r="J8" s="4">
        <v>2</v>
      </c>
      <c r="K8" s="4">
        <v>1</v>
      </c>
      <c r="L8" s="4">
        <v>1</v>
      </c>
      <c r="M8" s="4">
        <v>1</v>
      </c>
      <c r="N8" s="4">
        <v>2</v>
      </c>
      <c r="O8" s="4">
        <v>2</v>
      </c>
      <c r="P8" s="4">
        <v>2</v>
      </c>
      <c r="Q8" s="4">
        <v>3</v>
      </c>
      <c r="R8" s="4">
        <v>3</v>
      </c>
      <c r="S8" s="4">
        <v>5</v>
      </c>
      <c r="T8" s="4">
        <v>6</v>
      </c>
    </row>
    <row r="9" spans="1:20" x14ac:dyDescent="0.15">
      <c r="A9">
        <v>7</v>
      </c>
      <c r="B9" t="s">
        <v>484</v>
      </c>
      <c r="C9" t="s">
        <v>485</v>
      </c>
      <c r="D9" t="s">
        <v>691</v>
      </c>
      <c r="E9" t="s">
        <v>486</v>
      </c>
      <c r="F9" s="1" t="s">
        <v>487</v>
      </c>
      <c r="G9">
        <v>5</v>
      </c>
      <c r="H9" s="4">
        <v>2</v>
      </c>
      <c r="I9" s="4">
        <v>2</v>
      </c>
      <c r="J9" s="4">
        <v>2</v>
      </c>
      <c r="K9" s="4">
        <v>1</v>
      </c>
      <c r="L9" s="4">
        <v>1</v>
      </c>
      <c r="M9" s="4">
        <v>1</v>
      </c>
      <c r="N9" s="4">
        <v>2</v>
      </c>
      <c r="O9" s="4">
        <v>2</v>
      </c>
      <c r="P9" s="4">
        <v>2</v>
      </c>
      <c r="Q9" s="4">
        <v>3</v>
      </c>
      <c r="R9" s="4">
        <v>3</v>
      </c>
      <c r="S9" s="4">
        <v>5</v>
      </c>
      <c r="T9" s="4">
        <v>6</v>
      </c>
    </row>
    <row r="10" spans="1:20" x14ac:dyDescent="0.15"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x14ac:dyDescent="0.15"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x14ac:dyDescent="0.15"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x14ac:dyDescent="0.15"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x14ac:dyDescent="0.15"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x14ac:dyDescent="0.15"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x14ac:dyDescent="0.15"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8:20" x14ac:dyDescent="0.15"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8:20" x14ac:dyDescent="0.15"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8:20" x14ac:dyDescent="0.15"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8:20" x14ac:dyDescent="0.15"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8:20" x14ac:dyDescent="0.15"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8:20" x14ac:dyDescent="0.15"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8:20" x14ac:dyDescent="0.15"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8:20" x14ac:dyDescent="0.15"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8:20" x14ac:dyDescent="0.15"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8:20" x14ac:dyDescent="0.15"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8:20" x14ac:dyDescent="0.15"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8:20" x14ac:dyDescent="0.15">
      <c r="H28"/>
      <c r="I28"/>
      <c r="J28"/>
      <c r="K28"/>
      <c r="L28"/>
      <c r="M28"/>
      <c r="N28"/>
      <c r="O28"/>
      <c r="P28"/>
      <c r="Q28"/>
      <c r="R28"/>
      <c r="S28"/>
      <c r="T28"/>
    </row>
  </sheetData>
  <phoneticPr fontId="3" type="noConversion"/>
  <pageMargins left="0.75" right="0.75" top="1" bottom="1" header="0.51180555555555596" footer="0.5118055555555559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workbookViewId="0">
      <selection activeCell="E11" sqref="E11"/>
    </sheetView>
  </sheetViews>
  <sheetFormatPr defaultColWidth="9" defaultRowHeight="13.5" x14ac:dyDescent="0.15"/>
  <cols>
    <col min="1" max="1" width="9" style="2"/>
    <col min="2" max="2" width="9" style="3"/>
    <col min="3" max="3" width="11.25" style="2" customWidth="1"/>
    <col min="4" max="4" width="21.5" style="2" customWidth="1"/>
    <col min="5" max="5" width="76.5" style="2" customWidth="1"/>
    <col min="6" max="16384" width="9" style="2"/>
  </cols>
  <sheetData>
    <row r="1" spans="1:5" x14ac:dyDescent="0.15">
      <c r="A1" s="2" t="s">
        <v>5</v>
      </c>
      <c r="B1" s="10" t="s">
        <v>707</v>
      </c>
      <c r="C1" s="9" t="s">
        <v>708</v>
      </c>
      <c r="D1" s="9" t="s">
        <v>628</v>
      </c>
      <c r="E1" s="2" t="s">
        <v>7</v>
      </c>
    </row>
    <row r="2" spans="1:5" x14ac:dyDescent="0.15">
      <c r="A2" s="2" t="s">
        <v>8</v>
      </c>
      <c r="B2" s="3" t="s">
        <v>709</v>
      </c>
      <c r="C2" s="9" t="s">
        <v>710</v>
      </c>
      <c r="D2" s="9" t="s">
        <v>618</v>
      </c>
      <c r="E2" s="2" t="s">
        <v>10</v>
      </c>
    </row>
    <row r="3" spans="1:5" x14ac:dyDescent="0.15">
      <c r="A3" s="2">
        <v>1</v>
      </c>
      <c r="C3" s="2">
        <v>0</v>
      </c>
      <c r="E3" s="2" t="s">
        <v>711</v>
      </c>
    </row>
    <row r="4" spans="1:5" x14ac:dyDescent="0.15">
      <c r="A4" s="2">
        <v>2</v>
      </c>
      <c r="B4" s="3" t="s">
        <v>712</v>
      </c>
      <c r="C4" s="2">
        <v>0</v>
      </c>
      <c r="D4" s="2" t="s">
        <v>713</v>
      </c>
      <c r="E4" s="2" t="s">
        <v>714</v>
      </c>
    </row>
    <row r="5" spans="1:5" x14ac:dyDescent="0.15">
      <c r="A5" s="2">
        <v>3</v>
      </c>
      <c r="B5" s="3" t="s">
        <v>715</v>
      </c>
      <c r="C5" s="2">
        <v>0</v>
      </c>
      <c r="D5" s="2" t="s">
        <v>713</v>
      </c>
      <c r="E5" s="2" t="s">
        <v>714</v>
      </c>
    </row>
    <row r="6" spans="1:5" x14ac:dyDescent="0.15">
      <c r="A6" s="2">
        <v>4</v>
      </c>
      <c r="B6" s="3" t="s">
        <v>716</v>
      </c>
      <c r="C6" s="2">
        <v>0</v>
      </c>
      <c r="D6" s="2" t="s">
        <v>713</v>
      </c>
      <c r="E6" s="2" t="s">
        <v>714</v>
      </c>
    </row>
    <row r="7" spans="1:5" x14ac:dyDescent="0.15">
      <c r="A7" s="2">
        <v>5</v>
      </c>
      <c r="B7" s="3" t="s">
        <v>716</v>
      </c>
      <c r="C7" s="2">
        <v>0</v>
      </c>
      <c r="D7" s="2" t="s">
        <v>713</v>
      </c>
      <c r="E7" s="2" t="s">
        <v>717</v>
      </c>
    </row>
    <row r="8" spans="1:5" x14ac:dyDescent="0.15">
      <c r="A8" s="2">
        <v>6</v>
      </c>
      <c r="B8" s="3" t="s">
        <v>718</v>
      </c>
      <c r="C8" s="2">
        <v>0</v>
      </c>
      <c r="D8" s="2" t="s">
        <v>719</v>
      </c>
      <c r="E8" s="2" t="s">
        <v>717</v>
      </c>
    </row>
    <row r="9" spans="1:5" x14ac:dyDescent="0.15">
      <c r="A9" s="2">
        <v>7</v>
      </c>
      <c r="B9" s="3" t="s">
        <v>720</v>
      </c>
      <c r="C9" s="2">
        <v>0</v>
      </c>
      <c r="D9" s="2" t="s">
        <v>721</v>
      </c>
      <c r="E9" s="2" t="s">
        <v>722</v>
      </c>
    </row>
    <row r="10" spans="1:5" x14ac:dyDescent="0.15">
      <c r="A10" s="2">
        <v>8</v>
      </c>
      <c r="B10" s="3" t="s">
        <v>723</v>
      </c>
      <c r="C10" s="2">
        <v>0</v>
      </c>
      <c r="D10" s="2" t="s">
        <v>724</v>
      </c>
      <c r="E10" s="2" t="s">
        <v>725</v>
      </c>
    </row>
    <row r="11" spans="1:5" x14ac:dyDescent="0.15">
      <c r="A11" s="2">
        <v>9</v>
      </c>
      <c r="B11" s="3" t="s">
        <v>726</v>
      </c>
      <c r="C11" s="2">
        <v>0</v>
      </c>
      <c r="D11" s="2" t="s">
        <v>727</v>
      </c>
      <c r="E11" s="2" t="s">
        <v>728</v>
      </c>
    </row>
    <row r="12" spans="1:5" x14ac:dyDescent="0.15">
      <c r="A12" s="2">
        <v>10</v>
      </c>
      <c r="B12" s="3" t="s">
        <v>729</v>
      </c>
      <c r="C12" s="2">
        <v>0</v>
      </c>
      <c r="D12" s="2" t="s">
        <v>730</v>
      </c>
      <c r="E12" s="2" t="s">
        <v>731</v>
      </c>
    </row>
    <row r="13" spans="1:5" x14ac:dyDescent="0.15">
      <c r="A13" s="2">
        <v>11</v>
      </c>
      <c r="B13" s="3" t="s">
        <v>732</v>
      </c>
      <c r="C13" s="2">
        <v>0</v>
      </c>
      <c r="D13" s="2" t="s">
        <v>733</v>
      </c>
      <c r="E13" s="2" t="s">
        <v>734</v>
      </c>
    </row>
    <row r="14" spans="1:5" x14ac:dyDescent="0.15">
      <c r="A14" s="2">
        <v>12</v>
      </c>
      <c r="B14" s="3" t="s">
        <v>735</v>
      </c>
      <c r="C14" s="2">
        <v>0</v>
      </c>
      <c r="D14" s="2" t="s">
        <v>736</v>
      </c>
      <c r="E14" s="2" t="s">
        <v>737</v>
      </c>
    </row>
    <row r="15" spans="1:5" x14ac:dyDescent="0.15">
      <c r="A15" s="2">
        <v>13</v>
      </c>
      <c r="B15" s="3" t="s">
        <v>738</v>
      </c>
      <c r="C15" s="2">
        <v>0</v>
      </c>
      <c r="D15" s="2" t="s">
        <v>739</v>
      </c>
      <c r="E15" s="2" t="s">
        <v>740</v>
      </c>
    </row>
    <row r="16" spans="1:5" x14ac:dyDescent="0.15">
      <c r="A16" s="2">
        <v>14</v>
      </c>
      <c r="B16" s="3" t="s">
        <v>741</v>
      </c>
      <c r="C16" s="2">
        <v>0</v>
      </c>
      <c r="D16" s="2" t="s">
        <v>742</v>
      </c>
      <c r="E16" s="2" t="s">
        <v>743</v>
      </c>
    </row>
    <row r="17" spans="1:5" x14ac:dyDescent="0.15">
      <c r="A17" s="2">
        <v>15</v>
      </c>
      <c r="B17" s="3" t="s">
        <v>744</v>
      </c>
      <c r="C17" s="2">
        <v>0</v>
      </c>
      <c r="D17" s="2" t="s">
        <v>745</v>
      </c>
      <c r="E17" s="2" t="s">
        <v>746</v>
      </c>
    </row>
    <row r="18" spans="1:5" x14ac:dyDescent="0.15">
      <c r="A18" s="2">
        <v>16</v>
      </c>
      <c r="B18" s="3" t="s">
        <v>747</v>
      </c>
      <c r="C18" s="2">
        <v>0</v>
      </c>
      <c r="D18" s="2" t="s">
        <v>748</v>
      </c>
      <c r="E18" s="2" t="s">
        <v>749</v>
      </c>
    </row>
    <row r="19" spans="1:5" x14ac:dyDescent="0.15">
      <c r="A19" s="2">
        <v>17</v>
      </c>
      <c r="B19" s="3" t="s">
        <v>750</v>
      </c>
      <c r="C19" s="2">
        <v>0</v>
      </c>
      <c r="D19" s="2" t="s">
        <v>751</v>
      </c>
      <c r="E19" s="2" t="s">
        <v>752</v>
      </c>
    </row>
    <row r="20" spans="1:5" x14ac:dyDescent="0.15">
      <c r="A20" s="2">
        <v>18</v>
      </c>
      <c r="B20" s="3" t="s">
        <v>753</v>
      </c>
      <c r="C20" s="2">
        <v>0</v>
      </c>
      <c r="D20" s="2" t="s">
        <v>754</v>
      </c>
      <c r="E20" s="2" t="s">
        <v>755</v>
      </c>
    </row>
    <row r="21" spans="1:5" x14ac:dyDescent="0.15">
      <c r="A21" s="2">
        <v>19</v>
      </c>
      <c r="B21" s="3" t="s">
        <v>756</v>
      </c>
      <c r="C21" s="2">
        <v>0</v>
      </c>
      <c r="D21" s="2" t="s">
        <v>757</v>
      </c>
      <c r="E21" s="2" t="s">
        <v>758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89"/>
  <sheetViews>
    <sheetView workbookViewId="0">
      <selection activeCell="B2" sqref="B2"/>
    </sheetView>
  </sheetViews>
  <sheetFormatPr defaultColWidth="9" defaultRowHeight="13.5" x14ac:dyDescent="0.15"/>
  <cols>
    <col min="1" max="1" width="9" style="2"/>
    <col min="2" max="2" width="15.25" style="2" customWidth="1"/>
    <col min="3" max="16384" width="9" style="2"/>
  </cols>
  <sheetData>
    <row r="1" spans="1:2" x14ac:dyDescent="0.15">
      <c r="A1" s="2" t="s">
        <v>5</v>
      </c>
      <c r="B1" s="2" t="s">
        <v>488</v>
      </c>
    </row>
    <row r="2" spans="1:2" x14ac:dyDescent="0.15">
      <c r="A2" s="2" t="s">
        <v>8</v>
      </c>
      <c r="B2" s="9" t="s">
        <v>681</v>
      </c>
    </row>
    <row r="3" spans="1:2" x14ac:dyDescent="0.15">
      <c r="A3" s="2">
        <v>1</v>
      </c>
      <c r="B3" s="2" t="s">
        <v>489</v>
      </c>
    </row>
    <row r="4" spans="1:2" x14ac:dyDescent="0.15">
      <c r="A4" s="2">
        <v>2</v>
      </c>
      <c r="B4" s="2" t="s">
        <v>490</v>
      </c>
    </row>
    <row r="5" spans="1:2" x14ac:dyDescent="0.15">
      <c r="A5" s="2">
        <v>3</v>
      </c>
      <c r="B5" s="2" t="s">
        <v>491</v>
      </c>
    </row>
    <row r="6" spans="1:2" x14ac:dyDescent="0.15">
      <c r="A6" s="2">
        <v>4</v>
      </c>
      <c r="B6" s="2" t="s">
        <v>492</v>
      </c>
    </row>
    <row r="7" spans="1:2" x14ac:dyDescent="0.15">
      <c r="A7" s="2">
        <v>5</v>
      </c>
      <c r="B7" s="2" t="s">
        <v>493</v>
      </c>
    </row>
    <row r="8" spans="1:2" x14ac:dyDescent="0.15">
      <c r="A8" s="2">
        <v>6</v>
      </c>
      <c r="B8" s="2" t="s">
        <v>494</v>
      </c>
    </row>
    <row r="9" spans="1:2" x14ac:dyDescent="0.15">
      <c r="A9" s="2">
        <v>7</v>
      </c>
      <c r="B9" s="2" t="s">
        <v>495</v>
      </c>
    </row>
    <row r="10" spans="1:2" x14ac:dyDescent="0.15">
      <c r="A10" s="2">
        <v>8</v>
      </c>
      <c r="B10" s="2" t="s">
        <v>496</v>
      </c>
    </row>
    <row r="11" spans="1:2" x14ac:dyDescent="0.15">
      <c r="A11" s="2">
        <v>9</v>
      </c>
      <c r="B11" s="2" t="s">
        <v>497</v>
      </c>
    </row>
    <row r="12" spans="1:2" x14ac:dyDescent="0.15">
      <c r="A12" s="2">
        <v>10</v>
      </c>
      <c r="B12" s="2" t="s">
        <v>498</v>
      </c>
    </row>
    <row r="13" spans="1:2" x14ac:dyDescent="0.15">
      <c r="A13" s="2">
        <v>11</v>
      </c>
      <c r="B13" s="2" t="s">
        <v>499</v>
      </c>
    </row>
    <row r="14" spans="1:2" x14ac:dyDescent="0.15">
      <c r="A14" s="2">
        <v>12</v>
      </c>
      <c r="B14" s="2" t="s">
        <v>500</v>
      </c>
    </row>
    <row r="15" spans="1:2" x14ac:dyDescent="0.15">
      <c r="A15" s="2">
        <v>13</v>
      </c>
      <c r="B15" s="2" t="s">
        <v>501</v>
      </c>
    </row>
    <row r="16" spans="1:2" x14ac:dyDescent="0.15">
      <c r="A16" s="2">
        <v>14</v>
      </c>
      <c r="B16" s="2" t="s">
        <v>502</v>
      </c>
    </row>
    <row r="17" spans="1:2" x14ac:dyDescent="0.15">
      <c r="A17" s="2">
        <v>15</v>
      </c>
      <c r="B17" s="2" t="s">
        <v>503</v>
      </c>
    </row>
    <row r="18" spans="1:2" x14ac:dyDescent="0.15">
      <c r="A18" s="2">
        <v>16</v>
      </c>
      <c r="B18" s="2" t="s">
        <v>504</v>
      </c>
    </row>
    <row r="19" spans="1:2" x14ac:dyDescent="0.15">
      <c r="A19" s="2">
        <v>17</v>
      </c>
      <c r="B19" s="2" t="s">
        <v>505</v>
      </c>
    </row>
    <row r="20" spans="1:2" x14ac:dyDescent="0.15">
      <c r="A20" s="2">
        <v>18</v>
      </c>
      <c r="B20" s="2" t="s">
        <v>506</v>
      </c>
    </row>
    <row r="21" spans="1:2" x14ac:dyDescent="0.15">
      <c r="A21" s="2">
        <v>103</v>
      </c>
      <c r="B21" s="2" t="s">
        <v>507</v>
      </c>
    </row>
    <row r="22" spans="1:2" x14ac:dyDescent="0.15">
      <c r="A22" s="2">
        <v>2001</v>
      </c>
      <c r="B22" s="2" t="s">
        <v>508</v>
      </c>
    </row>
    <row r="23" spans="1:2" x14ac:dyDescent="0.15">
      <c r="A23" s="2">
        <v>2002</v>
      </c>
      <c r="B23" s="2" t="s">
        <v>509</v>
      </c>
    </row>
    <row r="24" spans="1:2" x14ac:dyDescent="0.15">
      <c r="A24" s="2">
        <v>2003</v>
      </c>
      <c r="B24" s="2" t="s">
        <v>510</v>
      </c>
    </row>
    <row r="25" spans="1:2" x14ac:dyDescent="0.15">
      <c r="A25" s="2">
        <v>2004</v>
      </c>
      <c r="B25" s="2" t="s">
        <v>511</v>
      </c>
    </row>
    <row r="26" spans="1:2" x14ac:dyDescent="0.15">
      <c r="A26" s="2">
        <v>1001</v>
      </c>
      <c r="B26" s="2" t="s">
        <v>512</v>
      </c>
    </row>
    <row r="27" spans="1:2" x14ac:dyDescent="0.15">
      <c r="A27" s="2">
        <v>1002</v>
      </c>
      <c r="B27" s="2" t="s">
        <v>513</v>
      </c>
    </row>
    <row r="28" spans="1:2" x14ac:dyDescent="0.15">
      <c r="A28" s="2">
        <v>1003</v>
      </c>
      <c r="B28" s="2" t="s">
        <v>514</v>
      </c>
    </row>
    <row r="29" spans="1:2" x14ac:dyDescent="0.15">
      <c r="A29" s="2">
        <v>1004</v>
      </c>
      <c r="B29" s="2" t="s">
        <v>515</v>
      </c>
    </row>
    <row r="30" spans="1:2" x14ac:dyDescent="0.15">
      <c r="A30" s="2">
        <v>1005</v>
      </c>
      <c r="B30" s="2" t="s">
        <v>516</v>
      </c>
    </row>
    <row r="31" spans="1:2" x14ac:dyDescent="0.15">
      <c r="A31" s="2">
        <v>1006</v>
      </c>
      <c r="B31" s="2" t="s">
        <v>517</v>
      </c>
    </row>
    <row r="32" spans="1:2" x14ac:dyDescent="0.15">
      <c r="A32" s="2">
        <v>1007</v>
      </c>
      <c r="B32" s="2" t="s">
        <v>518</v>
      </c>
    </row>
    <row r="33" spans="1:2" x14ac:dyDescent="0.15">
      <c r="A33" s="2">
        <v>1008</v>
      </c>
      <c r="B33" s="2" t="s">
        <v>519</v>
      </c>
    </row>
    <row r="34" spans="1:2" x14ac:dyDescent="0.15">
      <c r="A34" s="2">
        <v>1009</v>
      </c>
      <c r="B34" s="2" t="s">
        <v>520</v>
      </c>
    </row>
    <row r="35" spans="1:2" x14ac:dyDescent="0.15">
      <c r="A35" s="2">
        <v>1010</v>
      </c>
      <c r="B35" s="2" t="s">
        <v>521</v>
      </c>
    </row>
    <row r="36" spans="1:2" x14ac:dyDescent="0.15">
      <c r="A36" s="2">
        <v>1011</v>
      </c>
      <c r="B36" s="2" t="s">
        <v>522</v>
      </c>
    </row>
    <row r="37" spans="1:2" x14ac:dyDescent="0.15">
      <c r="A37" s="2">
        <v>1012</v>
      </c>
      <c r="B37" s="2" t="s">
        <v>523</v>
      </c>
    </row>
    <row r="38" spans="1:2" x14ac:dyDescent="0.15">
      <c r="A38" s="2">
        <v>1013</v>
      </c>
      <c r="B38" s="2" t="s">
        <v>524</v>
      </c>
    </row>
    <row r="39" spans="1:2" x14ac:dyDescent="0.15">
      <c r="A39" s="2">
        <v>1014</v>
      </c>
      <c r="B39" s="2" t="s">
        <v>525</v>
      </c>
    </row>
    <row r="40" spans="1:2" x14ac:dyDescent="0.15">
      <c r="A40" s="2">
        <v>1015</v>
      </c>
      <c r="B40" s="2" t="s">
        <v>526</v>
      </c>
    </row>
    <row r="41" spans="1:2" x14ac:dyDescent="0.15">
      <c r="A41" s="2">
        <v>1016</v>
      </c>
      <c r="B41" s="2" t="s">
        <v>527</v>
      </c>
    </row>
    <row r="42" spans="1:2" x14ac:dyDescent="0.15">
      <c r="A42" s="2">
        <v>1017</v>
      </c>
      <c r="B42" s="2" t="s">
        <v>528</v>
      </c>
    </row>
    <row r="43" spans="1:2" x14ac:dyDescent="0.15">
      <c r="A43" s="2">
        <v>1018</v>
      </c>
      <c r="B43" s="2" t="s">
        <v>529</v>
      </c>
    </row>
    <row r="44" spans="1:2" x14ac:dyDescent="0.15">
      <c r="A44" s="2">
        <v>1019</v>
      </c>
      <c r="B44" s="2" t="s">
        <v>530</v>
      </c>
    </row>
    <row r="45" spans="1:2" x14ac:dyDescent="0.15">
      <c r="A45" s="2">
        <v>1020</v>
      </c>
      <c r="B45" s="2" t="s">
        <v>531</v>
      </c>
    </row>
    <row r="46" spans="1:2" x14ac:dyDescent="0.15">
      <c r="A46" s="2">
        <v>1021</v>
      </c>
      <c r="B46" s="2" t="s">
        <v>532</v>
      </c>
    </row>
    <row r="47" spans="1:2" x14ac:dyDescent="0.15">
      <c r="A47" s="2">
        <v>1022</v>
      </c>
      <c r="B47" s="2" t="s">
        <v>533</v>
      </c>
    </row>
    <row r="48" spans="1:2" x14ac:dyDescent="0.15">
      <c r="A48" s="2">
        <v>1023</v>
      </c>
      <c r="B48" s="2" t="s">
        <v>534</v>
      </c>
    </row>
    <row r="49" spans="1:2" x14ac:dyDescent="0.15">
      <c r="A49" s="2">
        <v>1024</v>
      </c>
      <c r="B49" s="2" t="s">
        <v>535</v>
      </c>
    </row>
    <row r="50" spans="1:2" x14ac:dyDescent="0.15">
      <c r="A50" s="2">
        <v>1025</v>
      </c>
      <c r="B50" s="2" t="s">
        <v>536</v>
      </c>
    </row>
    <row r="51" spans="1:2" x14ac:dyDescent="0.15">
      <c r="A51" s="2">
        <v>5001</v>
      </c>
      <c r="B51" s="2" t="s">
        <v>142</v>
      </c>
    </row>
    <row r="52" spans="1:2" x14ac:dyDescent="0.15">
      <c r="A52" s="2">
        <v>5002</v>
      </c>
      <c r="B52" s="2" t="s">
        <v>145</v>
      </c>
    </row>
    <row r="53" spans="1:2" x14ac:dyDescent="0.15">
      <c r="A53" s="2">
        <v>5003</v>
      </c>
      <c r="B53" s="2" t="s">
        <v>537</v>
      </c>
    </row>
    <row r="54" spans="1:2" x14ac:dyDescent="0.15">
      <c r="A54" s="2">
        <v>5004</v>
      </c>
      <c r="B54" s="2" t="s">
        <v>147</v>
      </c>
    </row>
    <row r="55" spans="1:2" x14ac:dyDescent="0.15">
      <c r="A55" s="2">
        <v>5005</v>
      </c>
      <c r="B55" s="2" t="s">
        <v>538</v>
      </c>
    </row>
    <row r="56" spans="1:2" x14ac:dyDescent="0.15">
      <c r="A56" s="2">
        <v>5006</v>
      </c>
      <c r="B56" s="2" t="s">
        <v>539</v>
      </c>
    </row>
    <row r="57" spans="1:2" x14ac:dyDescent="0.15">
      <c r="A57" s="2">
        <v>5007</v>
      </c>
      <c r="B57" s="2" t="s">
        <v>540</v>
      </c>
    </row>
    <row r="58" spans="1:2" x14ac:dyDescent="0.15">
      <c r="A58" s="2">
        <v>5008</v>
      </c>
      <c r="B58" s="2" t="s">
        <v>541</v>
      </c>
    </row>
    <row r="59" spans="1:2" x14ac:dyDescent="0.15">
      <c r="A59" s="2">
        <v>5009</v>
      </c>
      <c r="B59" s="2" t="s">
        <v>542</v>
      </c>
    </row>
    <row r="60" spans="1:2" x14ac:dyDescent="0.15">
      <c r="A60" s="2">
        <v>5010</v>
      </c>
      <c r="B60" s="2" t="s">
        <v>543</v>
      </c>
    </row>
    <row r="61" spans="1:2" x14ac:dyDescent="0.15">
      <c r="A61" s="2">
        <v>5011</v>
      </c>
      <c r="B61" s="2" t="s">
        <v>544</v>
      </c>
    </row>
    <row r="62" spans="1:2" x14ac:dyDescent="0.15">
      <c r="A62" s="2">
        <v>5012</v>
      </c>
      <c r="B62" s="2" t="s">
        <v>545</v>
      </c>
    </row>
    <row r="63" spans="1:2" x14ac:dyDescent="0.15">
      <c r="A63" s="2">
        <v>5013</v>
      </c>
      <c r="B63" s="2" t="s">
        <v>546</v>
      </c>
    </row>
    <row r="64" spans="1:2" x14ac:dyDescent="0.15">
      <c r="A64" s="2">
        <v>5014</v>
      </c>
      <c r="B64" s="2" t="s">
        <v>547</v>
      </c>
    </row>
    <row r="65" spans="1:2" x14ac:dyDescent="0.15">
      <c r="A65" s="2">
        <v>5015</v>
      </c>
      <c r="B65" s="2" t="s">
        <v>548</v>
      </c>
    </row>
    <row r="66" spans="1:2" x14ac:dyDescent="0.15">
      <c r="A66" s="2">
        <v>5016</v>
      </c>
      <c r="B66" s="2" t="s">
        <v>549</v>
      </c>
    </row>
    <row r="67" spans="1:2" x14ac:dyDescent="0.15">
      <c r="A67" s="2">
        <v>5017</v>
      </c>
      <c r="B67" s="2" t="s">
        <v>550</v>
      </c>
    </row>
    <row r="68" spans="1:2" x14ac:dyDescent="0.15">
      <c r="A68" s="2">
        <v>5018</v>
      </c>
      <c r="B68" s="2" t="s">
        <v>551</v>
      </c>
    </row>
    <row r="69" spans="1:2" x14ac:dyDescent="0.15">
      <c r="A69" s="2">
        <v>5019</v>
      </c>
      <c r="B69" s="2" t="s">
        <v>552</v>
      </c>
    </row>
    <row r="70" spans="1:2" x14ac:dyDescent="0.15">
      <c r="A70" s="2">
        <v>5020</v>
      </c>
      <c r="B70" s="2" t="s">
        <v>553</v>
      </c>
    </row>
    <row r="71" spans="1:2" x14ac:dyDescent="0.15">
      <c r="A71" s="2">
        <v>5021</v>
      </c>
      <c r="B71" s="2" t="s">
        <v>554</v>
      </c>
    </row>
    <row r="72" spans="1:2" x14ac:dyDescent="0.15">
      <c r="A72" s="2">
        <v>5022</v>
      </c>
      <c r="B72" s="2" t="s">
        <v>555</v>
      </c>
    </row>
    <row r="73" spans="1:2" x14ac:dyDescent="0.15">
      <c r="A73" s="2">
        <v>5023</v>
      </c>
      <c r="B73" s="2" t="s">
        <v>556</v>
      </c>
    </row>
    <row r="74" spans="1:2" x14ac:dyDescent="0.15">
      <c r="A74" s="2">
        <v>5024</v>
      </c>
      <c r="B74" s="2" t="s">
        <v>557</v>
      </c>
    </row>
    <row r="75" spans="1:2" x14ac:dyDescent="0.15">
      <c r="A75" s="2">
        <v>5025</v>
      </c>
      <c r="B75" s="2" t="s">
        <v>558</v>
      </c>
    </row>
    <row r="76" spans="1:2" x14ac:dyDescent="0.15">
      <c r="A76" s="2">
        <v>3101</v>
      </c>
      <c r="B76" s="2" t="s">
        <v>467</v>
      </c>
    </row>
    <row r="77" spans="1:2" x14ac:dyDescent="0.15">
      <c r="A77" s="2">
        <v>3102</v>
      </c>
      <c r="B77" s="2" t="s">
        <v>409</v>
      </c>
    </row>
    <row r="78" spans="1:2" x14ac:dyDescent="0.15">
      <c r="A78" s="2">
        <v>3103</v>
      </c>
      <c r="B78" s="2" t="s">
        <v>413</v>
      </c>
    </row>
    <row r="79" spans="1:2" x14ac:dyDescent="0.15">
      <c r="A79" s="2">
        <v>3104</v>
      </c>
      <c r="B79" s="2" t="s">
        <v>417</v>
      </c>
    </row>
    <row r="80" spans="1:2" x14ac:dyDescent="0.15">
      <c r="A80" s="2">
        <v>3105</v>
      </c>
      <c r="B80" s="2" t="s">
        <v>421</v>
      </c>
    </row>
    <row r="81" spans="1:2" x14ac:dyDescent="0.15">
      <c r="A81" s="2">
        <v>3106</v>
      </c>
      <c r="B81" s="2" t="s">
        <v>425</v>
      </c>
    </row>
    <row r="82" spans="1:2" x14ac:dyDescent="0.15">
      <c r="A82" s="2">
        <v>3107</v>
      </c>
      <c r="B82" s="2" t="s">
        <v>484</v>
      </c>
    </row>
    <row r="83" spans="1:2" x14ac:dyDescent="0.15">
      <c r="A83" s="2">
        <v>3001</v>
      </c>
      <c r="B83" s="2" t="s">
        <v>559</v>
      </c>
    </row>
    <row r="84" spans="1:2" x14ac:dyDescent="0.15">
      <c r="A84" s="2">
        <v>3002</v>
      </c>
      <c r="B84" s="2" t="s">
        <v>560</v>
      </c>
    </row>
    <row r="85" spans="1:2" x14ac:dyDescent="0.15">
      <c r="A85" s="2">
        <v>3003</v>
      </c>
      <c r="B85" s="2" t="s">
        <v>561</v>
      </c>
    </row>
    <row r="86" spans="1:2" x14ac:dyDescent="0.15">
      <c r="A86" s="2">
        <v>3004</v>
      </c>
      <c r="B86" s="2" t="s">
        <v>562</v>
      </c>
    </row>
    <row r="87" spans="1:2" x14ac:dyDescent="0.15">
      <c r="A87" s="2">
        <v>3005</v>
      </c>
      <c r="B87" s="2" t="s">
        <v>563</v>
      </c>
    </row>
    <row r="88" spans="1:2" x14ac:dyDescent="0.15">
      <c r="A88" s="2">
        <v>3006</v>
      </c>
      <c r="B88" s="2" t="s">
        <v>564</v>
      </c>
    </row>
    <row r="89" spans="1:2" x14ac:dyDescent="0.15">
      <c r="A89" s="2">
        <v>3007</v>
      </c>
      <c r="B89" s="2" t="s">
        <v>565</v>
      </c>
    </row>
  </sheetData>
  <phoneticPr fontId="3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node total</vt:lpstr>
      <vt:lpstr>m_activeSkillscfg</vt:lpstr>
      <vt:lpstr>m_amuletcfg</vt:lpstr>
      <vt:lpstr>m_bosscfg</vt:lpstr>
      <vt:lpstr>m_talismancfg</vt:lpstr>
      <vt:lpstr>m_talismanSkillscfg</vt:lpstr>
      <vt:lpstr>m_goodscfg</vt:lpstr>
      <vt:lpstr>m_dailyTaskcfg</vt:lpstr>
      <vt:lpstr>m_monstercfg</vt:lpstr>
      <vt:lpstr>m_cardcfg</vt:lpstr>
      <vt:lpstr>m_cardSkill</vt:lpstr>
      <vt:lpstr>m_petcfg</vt:lpstr>
      <vt:lpstr>m_petGeniuscfg</vt:lpstr>
      <vt:lpstr>m_rewardTypecfg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</cp:lastModifiedBy>
  <dcterms:created xsi:type="dcterms:W3CDTF">2018-01-11T02:23:00Z</dcterms:created>
  <dcterms:modified xsi:type="dcterms:W3CDTF">2018-02-06T09:40:58Z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